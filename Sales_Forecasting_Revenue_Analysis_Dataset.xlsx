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ales Performa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.00"/>
    <numFmt numFmtId="167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C2833"/>
      <sz val="18"/>
    </font>
    <font>
      <name val="Segoe UI"/>
      <b val="1"/>
      <color rgb="00566573"/>
      <sz val="10"/>
    </font>
    <font>
      <name val="Segoe UI"/>
      <b val="1"/>
      <color rgb="002E4053"/>
      <sz val="16"/>
    </font>
    <font>
      <name val="Segoe UI"/>
      <b val="1"/>
      <color rgb="00117A65"/>
      <sz val="16"/>
    </font>
    <font>
      <name val="Segoe UI"/>
      <b val="1"/>
      <color rgb="002E4053"/>
      <sz val="12"/>
    </font>
  </fonts>
  <fills count="5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F8F9F9"/>
        <bgColor rgb="00F8F9F9"/>
      </patternFill>
    </fill>
    <fill>
      <patternFill patternType="solid">
        <fgColor rgb="00EAEDED"/>
        <bgColor rgb="00EAEDED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top style="thin">
        <color rgb="00D5D8DC"/>
      </top>
      <bottom style="double">
        <color rgb="002E405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0" fillId="4" borderId="1" pivotButton="0" quotePrefix="0" xfId="0"/>
    <xf numFmtId="166" fontId="6" fillId="4" borderId="1" pivotButton="0" quotePrefix="0" xfId="0"/>
    <xf numFmtId="167" fontId="7" fillId="4" borderId="1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2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166" fontId="2" fillId="3" borderId="1" applyAlignment="1" pivotButton="0" quotePrefix="0" xfId="0">
      <alignment horizontal="right"/>
    </xf>
    <xf numFmtId="167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3" fillId="0" borderId="2" pivotButton="0" quotePrefix="0" xfId="0"/>
    <xf numFmtId="3" fontId="3" fillId="0" borderId="2" pivotButton="0" quotePrefix="0" xfId="0"/>
    <xf numFmtId="166" fontId="3" fillId="0" borderId="2" pivotButton="0" quotePrefix="0" xfId="0"/>
    <xf numFmtId="167" fontId="3" fillId="0" borderId="2" pivotButton="0" quotePrefix="0" xfId="0"/>
  </cellXfs>
  <cellStyles count="1">
    <cellStyle name="Normal" xfId="0" builtinId="0" hidden="0"/>
  </cellStyles>
  <dxfs count="2">
    <dxf>
      <font>
        <name val="Segoe UI"/>
        <color rgb="00943126"/>
        <sz val="10"/>
      </font>
      <fill>
        <patternFill patternType="solid">
          <fgColor rgb="00FADBD8"/>
          <bgColor rgb="00FADBD8"/>
        </patternFill>
      </fill>
    </dxf>
    <dxf>
      <font>
        <name val="Segoe UI"/>
        <color rgb="00196F3D"/>
        <sz val="10"/>
      </font>
      <fill>
        <patternFill patternType="solid">
          <fgColor rgb="00D4EFDF"/>
          <bgColor rgb="00D4EF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16" customWidth="1" min="4" max="4"/>
    <col width="17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/>
    <row r="2" ht="30" customHeight="1">
      <c r="B2" s="1" t="inlineStr">
        <is>
          <t>Sales Forecasting &amp; Revenue Analysis Summary</t>
        </is>
      </c>
    </row>
    <row r="3"/>
    <row r="4">
      <c r="B4" s="2" t="inlineStr">
        <is>
          <t>Total Revenue</t>
        </is>
      </c>
      <c r="C4" s="3" t="n"/>
      <c r="E4" s="2" t="inlineStr">
        <is>
          <t>Total Profit</t>
        </is>
      </c>
      <c r="F4" s="3" t="n"/>
      <c r="H4" s="2" t="inlineStr">
        <is>
          <t>Avg Target Achievement</t>
        </is>
      </c>
      <c r="I4" s="3" t="n"/>
      <c r="K4" s="2" t="inlineStr">
        <is>
          <t>Total Marketing Spend</t>
        </is>
      </c>
      <c r="L4" s="3" t="n"/>
    </row>
    <row r="5">
      <c r="B5" s="4">
        <f>'Sales Performance Data'!N122</f>
        <v/>
      </c>
      <c r="C5" s="3" t="n"/>
      <c r="E5" s="4">
        <f>'Sales Performance Data'!P122</f>
        <v/>
      </c>
      <c r="F5" s="3" t="n"/>
      <c r="H5" s="5">
        <f>'Sales Performance Data'!V122</f>
        <v/>
      </c>
      <c r="I5" s="3" t="n"/>
      <c r="K5" s="4">
        <f>'Sales Performance Data'!Q122</f>
        <v/>
      </c>
      <c r="L5" s="3" t="n"/>
    </row>
    <row r="6"/>
    <row r="7"/>
    <row r="8">
      <c r="B8" s="6" t="inlineStr">
        <is>
          <t>Regional Performance Insights Breakdown</t>
        </is>
      </c>
    </row>
    <row r="9">
      <c r="B9" s="7" t="inlineStr">
        <is>
          <t>Region</t>
        </is>
      </c>
      <c r="C9" s="7" t="inlineStr">
        <is>
          <t>Actual Revenue</t>
        </is>
      </c>
      <c r="D9" s="7" t="inlineStr">
        <is>
          <t>Sales Target</t>
        </is>
      </c>
      <c r="E9" s="7" t="inlineStr">
        <is>
          <t>Achievement %</t>
        </is>
      </c>
    </row>
    <row r="10">
      <c r="B10" s="8" t="inlineStr">
        <is>
          <t>North America</t>
        </is>
      </c>
      <c r="C10" s="9">
        <f>SUMIF('Sales Performance Data'!F$2:F$121, "North America", 'Sales Performance Data'!N$2:N$121)</f>
        <v/>
      </c>
      <c r="D10" s="9">
        <f>SUMIF('Sales Performance Data'!F$2:F$121, "North America", 'Sales Performance Data'!U$2:U$121)</f>
        <v/>
      </c>
      <c r="E10" s="10">
        <f>C10/D10</f>
        <v/>
      </c>
    </row>
    <row r="11">
      <c r="B11" s="11" t="inlineStr">
        <is>
          <t>Europe</t>
        </is>
      </c>
      <c r="C11" s="12">
        <f>SUMIF('Sales Performance Data'!F$2:F$121, "Europe", 'Sales Performance Data'!N$2:N$121)</f>
        <v/>
      </c>
      <c r="D11" s="12">
        <f>SUMIF('Sales Performance Data'!F$2:F$121, "Europe", 'Sales Performance Data'!U$2:U$121)</f>
        <v/>
      </c>
      <c r="E11" s="13">
        <f>C11/D11</f>
        <v/>
      </c>
    </row>
    <row r="12">
      <c r="B12" s="8" t="inlineStr">
        <is>
          <t>Asia-Pacific</t>
        </is>
      </c>
      <c r="C12" s="9">
        <f>SUMIF('Sales Performance Data'!F$2:F$121, "Asia-Pacific", 'Sales Performance Data'!N$2:N$121)</f>
        <v/>
      </c>
      <c r="D12" s="9">
        <f>SUMIF('Sales Performance Data'!F$2:F$121, "Asia-Pacific", 'Sales Performance Data'!U$2:U$121)</f>
        <v/>
      </c>
      <c r="E12" s="10">
        <f>C12/D12</f>
        <v/>
      </c>
    </row>
    <row r="13">
      <c r="B13" s="11" t="inlineStr">
        <is>
          <t>Latin America</t>
        </is>
      </c>
      <c r="C13" s="12">
        <f>SUMIF('Sales Performance Data'!F$2:F$121, "Latin America", 'Sales Performance Data'!N$2:N$121)</f>
        <v/>
      </c>
      <c r="D13" s="12">
        <f>SUMIF('Sales Performance Data'!F$2:F$121, "Latin America", 'Sales Performance Data'!U$2:U$121)</f>
        <v/>
      </c>
      <c r="E13" s="13">
        <f>C13/D13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3" customWidth="1" min="3" max="3"/>
    <col width="12" customWidth="1" min="4" max="4"/>
    <col width="12" customWidth="1" min="5" max="5"/>
    <col width="17" customWidth="1" min="6" max="6"/>
    <col width="18" customWidth="1" min="7" max="7"/>
    <col width="20" customWidth="1" min="8" max="8"/>
    <col width="29" customWidth="1" min="9" max="9"/>
    <col width="30" customWidth="1" min="10" max="10"/>
    <col width="2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9" customWidth="1" min="17" max="17"/>
    <col width="22" customWidth="1" min="18" max="18"/>
    <col width="18" customWidth="1" min="19" max="19"/>
    <col width="22" customWidth="1" min="20" max="20"/>
    <col width="16" customWidth="1" min="21" max="21"/>
    <col width="24" customWidth="1" min="22" max="22"/>
    <col width="12" customWidth="1" min="23" max="23"/>
  </cols>
  <sheetData>
    <row r="1" ht="28" customHeight="1">
      <c r="A1" s="14" t="inlineStr">
        <is>
          <t>Order ID</t>
        </is>
      </c>
      <c r="B1" s="14" t="inlineStr">
        <is>
          <t>Order Date</t>
        </is>
      </c>
      <c r="C1" s="14" t="inlineStr">
        <is>
          <t>Month</t>
        </is>
      </c>
      <c r="D1" s="14" t="inlineStr">
        <is>
          <t>Quarter</t>
        </is>
      </c>
      <c r="E1" s="14" t="inlineStr">
        <is>
          <t>Year</t>
        </is>
      </c>
      <c r="F1" s="14" t="inlineStr">
        <is>
          <t>Region</t>
        </is>
      </c>
      <c r="G1" s="14" t="inlineStr">
        <is>
          <t>Country</t>
        </is>
      </c>
      <c r="H1" s="14" t="inlineStr">
        <is>
          <t>Customer Segment</t>
        </is>
      </c>
      <c r="I1" s="14" t="inlineStr">
        <is>
          <t>Product Category</t>
        </is>
      </c>
      <c r="J1" s="14" t="inlineStr">
        <is>
          <t>Product Name</t>
        </is>
      </c>
      <c r="K1" s="14" t="inlineStr">
        <is>
          <t>Sales Representative</t>
        </is>
      </c>
      <c r="L1" s="14" t="inlineStr">
        <is>
          <t>Units Sold</t>
        </is>
      </c>
      <c r="M1" s="14" t="inlineStr">
        <is>
          <t>Unit Price</t>
        </is>
      </c>
      <c r="N1" s="14" t="inlineStr">
        <is>
          <t>Revenue</t>
        </is>
      </c>
      <c r="O1" s="14" t="inlineStr">
        <is>
          <t>Cost</t>
        </is>
      </c>
      <c r="P1" s="14" t="inlineStr">
        <is>
          <t>Profit</t>
        </is>
      </c>
      <c r="Q1" s="14" t="inlineStr">
        <is>
          <t>Marketing Spend</t>
        </is>
      </c>
      <c r="R1" s="14" t="inlineStr">
        <is>
          <t>Forecasted Revenue</t>
        </is>
      </c>
      <c r="S1" s="14" t="inlineStr">
        <is>
          <t>Actual Revenue</t>
        </is>
      </c>
      <c r="T1" s="14" t="inlineStr">
        <is>
          <t>Revenue Variance %</t>
        </is>
      </c>
      <c r="U1" s="14" t="inlineStr">
        <is>
          <t>Sales Target</t>
        </is>
      </c>
      <c r="V1" s="14" t="inlineStr">
        <is>
          <t>Target Achievement %</t>
        </is>
      </c>
      <c r="W1" s="14" t="inlineStr">
        <is>
          <t>Season</t>
        </is>
      </c>
    </row>
    <row r="2" ht="20" customHeight="1">
      <c r="A2" s="15" t="inlineStr">
        <is>
          <t>ORD-2024-1001</t>
        </is>
      </c>
      <c r="B2" s="16" t="n">
        <v>45292</v>
      </c>
      <c r="C2" s="17" t="inlineStr">
        <is>
          <t>January</t>
        </is>
      </c>
      <c r="D2" s="15" t="inlineStr">
        <is>
          <t>Q1</t>
        </is>
      </c>
      <c r="E2" s="15" t="n">
        <v>2024</v>
      </c>
      <c r="F2" s="17" t="inlineStr">
        <is>
          <t>Asia-Pacific</t>
        </is>
      </c>
      <c r="G2" s="17" t="inlineStr">
        <is>
          <t>Australia</t>
        </is>
      </c>
      <c r="H2" s="17" t="inlineStr">
        <is>
          <t>Enterprise</t>
        </is>
      </c>
      <c r="I2" s="17" t="inlineStr">
        <is>
          <t>Professional Services</t>
        </is>
      </c>
      <c r="J2" s="11" t="inlineStr">
        <is>
          <t>Implementation Blueprint</t>
        </is>
      </c>
      <c r="K2" s="17" t="inlineStr">
        <is>
          <t>Sarah Jenkins</t>
        </is>
      </c>
      <c r="L2" s="18" t="n">
        <v>4</v>
      </c>
      <c r="M2" s="19" t="n">
        <v>4778.93</v>
      </c>
      <c r="N2" s="19" t="n">
        <v>19115.72</v>
      </c>
      <c r="O2" s="19" t="n">
        <v>7266.05</v>
      </c>
      <c r="P2" s="19" t="n">
        <v>11849.67</v>
      </c>
      <c r="Q2" s="19" t="n">
        <v>2044.72</v>
      </c>
      <c r="R2" s="19" t="n">
        <v>17686.23</v>
      </c>
      <c r="S2" s="19" t="n">
        <v>19115.72</v>
      </c>
      <c r="T2" s="20" t="n">
        <v>0.0808</v>
      </c>
      <c r="U2" s="19" t="n">
        <v>21813.5</v>
      </c>
      <c r="V2" s="20" t="n">
        <v>0.8763</v>
      </c>
      <c r="W2" s="15" t="inlineStr">
        <is>
          <t>Winter</t>
        </is>
      </c>
    </row>
    <row r="3" ht="20" customHeight="1">
      <c r="A3" s="21" t="inlineStr">
        <is>
          <t>ORD-2024-1002</t>
        </is>
      </c>
      <c r="B3" s="22" t="n">
        <v>45294</v>
      </c>
      <c r="C3" s="23" t="inlineStr">
        <is>
          <t>January</t>
        </is>
      </c>
      <c r="D3" s="21" t="inlineStr">
        <is>
          <t>Q1</t>
        </is>
      </c>
      <c r="E3" s="21" t="n">
        <v>2024</v>
      </c>
      <c r="F3" s="23" t="inlineStr">
        <is>
          <t>Latin America</t>
        </is>
      </c>
      <c r="G3" s="23" t="inlineStr">
        <is>
          <t>Mexico</t>
        </is>
      </c>
      <c r="H3" s="23" t="inlineStr">
        <is>
          <t>Mid-Market</t>
        </is>
      </c>
      <c r="I3" s="23" t="inlineStr">
        <is>
          <t>Cloud Software</t>
        </is>
      </c>
      <c r="J3" s="8" t="inlineStr">
        <is>
          <t>SaaS Core License</t>
        </is>
      </c>
      <c r="K3" s="23" t="inlineStr">
        <is>
          <t>Marcus Vance</t>
        </is>
      </c>
      <c r="L3" s="24" t="n">
        <v>60</v>
      </c>
      <c r="M3" s="25" t="n">
        <v>1187.34</v>
      </c>
      <c r="N3" s="25" t="n">
        <v>71240.39999999999</v>
      </c>
      <c r="O3" s="25" t="n">
        <v>10276.46</v>
      </c>
      <c r="P3" s="25" t="n">
        <v>60963.94</v>
      </c>
      <c r="Q3" s="25" t="n">
        <v>4461.62</v>
      </c>
      <c r="R3" s="25" t="n">
        <v>74084.99000000001</v>
      </c>
      <c r="S3" s="25" t="n">
        <v>71240.39999999999</v>
      </c>
      <c r="T3" s="26" t="n">
        <v>-0.0384</v>
      </c>
      <c r="U3" s="25" t="n">
        <v>77382.84</v>
      </c>
      <c r="V3" s="26" t="n">
        <v>0.9206</v>
      </c>
      <c r="W3" s="21" t="inlineStr">
        <is>
          <t>Winter</t>
        </is>
      </c>
    </row>
    <row r="4" ht="20" customHeight="1">
      <c r="A4" s="15" t="inlineStr">
        <is>
          <t>ORD-2024-1003</t>
        </is>
      </c>
      <c r="B4" s="16" t="n">
        <v>45297</v>
      </c>
      <c r="C4" s="17" t="inlineStr">
        <is>
          <t>January</t>
        </is>
      </c>
      <c r="D4" s="15" t="inlineStr">
        <is>
          <t>Q1</t>
        </is>
      </c>
      <c r="E4" s="15" t="n">
        <v>2024</v>
      </c>
      <c r="F4" s="17" t="inlineStr">
        <is>
          <t>North America</t>
        </is>
      </c>
      <c r="G4" s="17" t="inlineStr">
        <is>
          <t>United States</t>
        </is>
      </c>
      <c r="H4" s="17" t="inlineStr">
        <is>
          <t>Mid-Market</t>
        </is>
      </c>
      <c r="I4" s="17" t="inlineStr">
        <is>
          <t>Cloud Software</t>
        </is>
      </c>
      <c r="J4" s="11" t="inlineStr">
        <is>
          <t>CRM Pro Core</t>
        </is>
      </c>
      <c r="K4" s="17" t="inlineStr">
        <is>
          <t>Chloe Bennett</t>
        </is>
      </c>
      <c r="L4" s="18" t="n">
        <v>36</v>
      </c>
      <c r="M4" s="19" t="n">
        <v>1441.01</v>
      </c>
      <c r="N4" s="19" t="n">
        <v>51876.36</v>
      </c>
      <c r="O4" s="19" t="n">
        <v>7760.57</v>
      </c>
      <c r="P4" s="19" t="n">
        <v>44115.79</v>
      </c>
      <c r="Q4" s="19" t="n">
        <v>6900.59</v>
      </c>
      <c r="R4" s="19" t="n">
        <v>51787.24</v>
      </c>
      <c r="S4" s="19" t="n">
        <v>51876.36</v>
      </c>
      <c r="T4" s="20" t="n">
        <v>0.0017</v>
      </c>
      <c r="U4" s="19" t="n">
        <v>53725.41</v>
      </c>
      <c r="V4" s="20" t="n">
        <v>0.9656</v>
      </c>
      <c r="W4" s="15" t="inlineStr">
        <is>
          <t>Winter</t>
        </is>
      </c>
    </row>
    <row r="5" ht="20" customHeight="1">
      <c r="A5" s="21" t="inlineStr">
        <is>
          <t>ORD-2024-1004</t>
        </is>
      </c>
      <c r="B5" s="22" t="n">
        <v>45300</v>
      </c>
      <c r="C5" s="23" t="inlineStr">
        <is>
          <t>January</t>
        </is>
      </c>
      <c r="D5" s="21" t="inlineStr">
        <is>
          <t>Q1</t>
        </is>
      </c>
      <c r="E5" s="21" t="n">
        <v>2024</v>
      </c>
      <c r="F5" s="23" t="inlineStr">
        <is>
          <t>Asia-Pacific</t>
        </is>
      </c>
      <c r="G5" s="23" t="inlineStr">
        <is>
          <t>Australia</t>
        </is>
      </c>
      <c r="H5" s="23" t="inlineStr">
        <is>
          <t>SMB</t>
        </is>
      </c>
      <c r="I5" s="23" t="inlineStr">
        <is>
          <t>Cloud Software</t>
        </is>
      </c>
      <c r="J5" s="8" t="inlineStr">
        <is>
          <t>Cloud Storage Enterprise</t>
        </is>
      </c>
      <c r="K5" s="23" t="inlineStr">
        <is>
          <t>Akiro Tanaka</t>
        </is>
      </c>
      <c r="L5" s="24" t="n">
        <v>12</v>
      </c>
      <c r="M5" s="25" t="n">
        <v>786.85</v>
      </c>
      <c r="N5" s="25" t="n">
        <v>9442.200000000001</v>
      </c>
      <c r="O5" s="25" t="n">
        <v>1431.36</v>
      </c>
      <c r="P5" s="25" t="n">
        <v>8010.84</v>
      </c>
      <c r="Q5" s="25" t="n">
        <v>754.04</v>
      </c>
      <c r="R5" s="25" t="n">
        <v>9649.82</v>
      </c>
      <c r="S5" s="25" t="n">
        <v>9442.200000000001</v>
      </c>
      <c r="T5" s="26" t="n">
        <v>-0.0215</v>
      </c>
      <c r="U5" s="25" t="n">
        <v>8600.959999999999</v>
      </c>
      <c r="V5" s="26" t="n">
        <v>1.0978</v>
      </c>
      <c r="W5" s="21" t="inlineStr">
        <is>
          <t>Winter</t>
        </is>
      </c>
    </row>
    <row r="6" ht="20" customHeight="1">
      <c r="A6" s="15" t="inlineStr">
        <is>
          <t>ORD-2024-1005</t>
        </is>
      </c>
      <c r="B6" s="16" t="n">
        <v>45302</v>
      </c>
      <c r="C6" s="17" t="inlineStr">
        <is>
          <t>January</t>
        </is>
      </c>
      <c r="D6" s="15" t="inlineStr">
        <is>
          <t>Q1</t>
        </is>
      </c>
      <c r="E6" s="15" t="n">
        <v>2024</v>
      </c>
      <c r="F6" s="17" t="inlineStr">
        <is>
          <t>Asia-Pacific</t>
        </is>
      </c>
      <c r="G6" s="17" t="inlineStr">
        <is>
          <t>Japan</t>
        </is>
      </c>
      <c r="H6" s="17" t="inlineStr">
        <is>
          <t>Enterprise</t>
        </is>
      </c>
      <c r="I6" s="17" t="inlineStr">
        <is>
          <t>Cloud Software</t>
        </is>
      </c>
      <c r="J6" s="11" t="inlineStr">
        <is>
          <t>Advanced Analytics Suite</t>
        </is>
      </c>
      <c r="K6" s="17" t="inlineStr">
        <is>
          <t>Eleanor Vance</t>
        </is>
      </c>
      <c r="L6" s="18" t="n">
        <v>24</v>
      </c>
      <c r="M6" s="19" t="n">
        <v>2417.42</v>
      </c>
      <c r="N6" s="19" t="n">
        <v>58018.08</v>
      </c>
      <c r="O6" s="19" t="n">
        <v>8958.82</v>
      </c>
      <c r="P6" s="19" t="n">
        <v>49059.26</v>
      </c>
      <c r="Q6" s="19" t="n">
        <v>6162.13</v>
      </c>
      <c r="R6" s="19" t="n">
        <v>63902.98</v>
      </c>
      <c r="S6" s="19" t="n">
        <v>58018.08</v>
      </c>
      <c r="T6" s="20" t="n">
        <v>-0.0921</v>
      </c>
      <c r="U6" s="19" t="n">
        <v>67540.91</v>
      </c>
      <c r="V6" s="20" t="n">
        <v>0.859</v>
      </c>
      <c r="W6" s="15" t="inlineStr">
        <is>
          <t>Winter</t>
        </is>
      </c>
    </row>
    <row r="7" ht="20" customHeight="1">
      <c r="A7" s="21" t="inlineStr">
        <is>
          <t>ORD-2024-1006</t>
        </is>
      </c>
      <c r="B7" s="22" t="n">
        <v>45305</v>
      </c>
      <c r="C7" s="23" t="inlineStr">
        <is>
          <t>January</t>
        </is>
      </c>
      <c r="D7" s="21" t="inlineStr">
        <is>
          <t>Q1</t>
        </is>
      </c>
      <c r="E7" s="21" t="n">
        <v>2024</v>
      </c>
      <c r="F7" s="23" t="inlineStr">
        <is>
          <t>Latin America</t>
        </is>
      </c>
      <c r="G7" s="23" t="inlineStr">
        <is>
          <t>Brazil</t>
        </is>
      </c>
      <c r="H7" s="23" t="inlineStr">
        <is>
          <t>Enterprise</t>
        </is>
      </c>
      <c r="I7" s="23" t="inlineStr">
        <is>
          <t>Hardware &amp; Infrastructure</t>
        </is>
      </c>
      <c r="J7" s="8" t="inlineStr">
        <is>
          <t>Enterprise Server V4</t>
        </is>
      </c>
      <c r="K7" s="23" t="inlineStr">
        <is>
          <t>Marcus Vance</t>
        </is>
      </c>
      <c r="L7" s="24" t="n">
        <v>4</v>
      </c>
      <c r="M7" s="25" t="n">
        <v>8624.82</v>
      </c>
      <c r="N7" s="25" t="n">
        <v>34499.28</v>
      </c>
      <c r="O7" s="25" t="n">
        <v>18228.33</v>
      </c>
      <c r="P7" s="25" t="n">
        <v>16270.95</v>
      </c>
      <c r="Q7" s="25" t="n">
        <v>2526.76</v>
      </c>
      <c r="R7" s="25" t="n">
        <v>33509.65</v>
      </c>
      <c r="S7" s="25" t="n">
        <v>34499.28</v>
      </c>
      <c r="T7" s="26" t="n">
        <v>0.0295</v>
      </c>
      <c r="U7" s="25" t="n">
        <v>28221.8</v>
      </c>
      <c r="V7" s="26" t="n">
        <v>1.2224</v>
      </c>
      <c r="W7" s="21" t="inlineStr">
        <is>
          <t>Winter</t>
        </is>
      </c>
    </row>
    <row r="8" ht="20" customHeight="1">
      <c r="A8" s="15" t="inlineStr">
        <is>
          <t>ORD-2024-1007</t>
        </is>
      </c>
      <c r="B8" s="16" t="n">
        <v>45308</v>
      </c>
      <c r="C8" s="17" t="inlineStr">
        <is>
          <t>January</t>
        </is>
      </c>
      <c r="D8" s="15" t="inlineStr">
        <is>
          <t>Q1</t>
        </is>
      </c>
      <c r="E8" s="15" t="n">
        <v>2024</v>
      </c>
      <c r="F8" s="17" t="inlineStr">
        <is>
          <t>North America</t>
        </is>
      </c>
      <c r="G8" s="17" t="inlineStr">
        <is>
          <t>Canada</t>
        </is>
      </c>
      <c r="H8" s="17" t="inlineStr">
        <is>
          <t>Enterprise</t>
        </is>
      </c>
      <c r="I8" s="17" t="inlineStr">
        <is>
          <t>Hardware &amp; Infrastructure</t>
        </is>
      </c>
      <c r="J8" s="11" t="inlineStr">
        <is>
          <t>Quantum Workstation</t>
        </is>
      </c>
      <c r="K8" s="17" t="inlineStr">
        <is>
          <t>Marcus Vance</t>
        </is>
      </c>
      <c r="L8" s="18" t="n">
        <v>4</v>
      </c>
      <c r="M8" s="19" t="n">
        <v>4449.72</v>
      </c>
      <c r="N8" s="19" t="n">
        <v>17798.88</v>
      </c>
      <c r="O8" s="19" t="n">
        <v>10132.72</v>
      </c>
      <c r="P8" s="19" t="n">
        <v>7666.16</v>
      </c>
      <c r="Q8" s="19" t="n">
        <v>1116.17</v>
      </c>
      <c r="R8" s="19" t="n">
        <v>19245.46</v>
      </c>
      <c r="S8" s="19" t="n">
        <v>17798.88</v>
      </c>
      <c r="T8" s="20" t="n">
        <v>-0.0752</v>
      </c>
      <c r="U8" s="19" t="n">
        <v>15018.46</v>
      </c>
      <c r="V8" s="20" t="n">
        <v>1.1851</v>
      </c>
      <c r="W8" s="15" t="inlineStr">
        <is>
          <t>Winter</t>
        </is>
      </c>
    </row>
    <row r="9" ht="20" customHeight="1">
      <c r="A9" s="21" t="inlineStr">
        <is>
          <t>ORD-2024-1008</t>
        </is>
      </c>
      <c r="B9" s="22" t="n">
        <v>45310</v>
      </c>
      <c r="C9" s="23" t="inlineStr">
        <is>
          <t>January</t>
        </is>
      </c>
      <c r="D9" s="21" t="inlineStr">
        <is>
          <t>Q1</t>
        </is>
      </c>
      <c r="E9" s="21" t="n">
        <v>2024</v>
      </c>
      <c r="F9" s="23" t="inlineStr">
        <is>
          <t>North America</t>
        </is>
      </c>
      <c r="G9" s="23" t="inlineStr">
        <is>
          <t>Canada</t>
        </is>
      </c>
      <c r="H9" s="23" t="inlineStr">
        <is>
          <t>Enterprise</t>
        </is>
      </c>
      <c r="I9" s="23" t="inlineStr">
        <is>
          <t>Hardware &amp; Infrastructure</t>
        </is>
      </c>
      <c r="J9" s="8" t="inlineStr">
        <is>
          <t>Secure Route Switch</t>
        </is>
      </c>
      <c r="K9" s="23" t="inlineStr">
        <is>
          <t>Akiro Tanaka</t>
        </is>
      </c>
      <c r="L9" s="24" t="n">
        <v>12</v>
      </c>
      <c r="M9" s="25" t="n">
        <v>1167.53</v>
      </c>
      <c r="N9" s="25" t="n">
        <v>14010.36</v>
      </c>
      <c r="O9" s="25" t="n">
        <v>7895.24</v>
      </c>
      <c r="P9" s="25" t="n">
        <v>6115.12</v>
      </c>
      <c r="Q9" s="25" t="n">
        <v>1189.73</v>
      </c>
      <c r="R9" s="25" t="n">
        <v>13682.67</v>
      </c>
      <c r="S9" s="25" t="n">
        <v>14010.36</v>
      </c>
      <c r="T9" s="26" t="n">
        <v>0.0239</v>
      </c>
      <c r="U9" s="25" t="n">
        <v>13403.04</v>
      </c>
      <c r="V9" s="26" t="n">
        <v>1.0453</v>
      </c>
      <c r="W9" s="21" t="inlineStr">
        <is>
          <t>Winter</t>
        </is>
      </c>
    </row>
    <row r="10" ht="20" customHeight="1">
      <c r="A10" s="15" t="inlineStr">
        <is>
          <t>ORD-2024-1009</t>
        </is>
      </c>
      <c r="B10" s="16" t="n">
        <v>45313</v>
      </c>
      <c r="C10" s="17" t="inlineStr">
        <is>
          <t>January</t>
        </is>
      </c>
      <c r="D10" s="15" t="inlineStr">
        <is>
          <t>Q1</t>
        </is>
      </c>
      <c r="E10" s="15" t="n">
        <v>2024</v>
      </c>
      <c r="F10" s="17" t="inlineStr">
        <is>
          <t>Asia-Pacific</t>
        </is>
      </c>
      <c r="G10" s="17" t="inlineStr">
        <is>
          <t>Australia</t>
        </is>
      </c>
      <c r="H10" s="17" t="inlineStr">
        <is>
          <t>Mid-Market</t>
        </is>
      </c>
      <c r="I10" s="17" t="inlineStr">
        <is>
          <t>Cybersecurity</t>
        </is>
      </c>
      <c r="J10" s="11" t="inlineStr">
        <is>
          <t>Endpoint Detection X</t>
        </is>
      </c>
      <c r="K10" s="17" t="inlineStr">
        <is>
          <t>Eleanor Vance</t>
        </is>
      </c>
      <c r="L10" s="18" t="n">
        <v>75</v>
      </c>
      <c r="M10" s="19" t="n">
        <v>1074.25</v>
      </c>
      <c r="N10" s="19" t="n">
        <v>80568.75</v>
      </c>
      <c r="O10" s="19" t="n">
        <v>15966.34</v>
      </c>
      <c r="P10" s="19" t="n">
        <v>64602.41</v>
      </c>
      <c r="Q10" s="19" t="n">
        <v>9864.809999999999</v>
      </c>
      <c r="R10" s="19" t="n">
        <v>77036.73</v>
      </c>
      <c r="S10" s="19" t="n">
        <v>80568.75</v>
      </c>
      <c r="T10" s="20" t="n">
        <v>0.0458</v>
      </c>
      <c r="U10" s="19" t="n">
        <v>68465.31</v>
      </c>
      <c r="V10" s="20" t="n">
        <v>1.1768</v>
      </c>
      <c r="W10" s="15" t="inlineStr">
        <is>
          <t>Winter</t>
        </is>
      </c>
    </row>
    <row r="11" ht="20" customHeight="1">
      <c r="A11" s="21" t="inlineStr">
        <is>
          <t>ORD-2024-1010</t>
        </is>
      </c>
      <c r="B11" s="22" t="n">
        <v>45316</v>
      </c>
      <c r="C11" s="23" t="inlineStr">
        <is>
          <t>January</t>
        </is>
      </c>
      <c r="D11" s="21" t="inlineStr">
        <is>
          <t>Q1</t>
        </is>
      </c>
      <c r="E11" s="21" t="n">
        <v>2024</v>
      </c>
      <c r="F11" s="23" t="inlineStr">
        <is>
          <t>Europe</t>
        </is>
      </c>
      <c r="G11" s="23" t="inlineStr">
        <is>
          <t>United Kingdom</t>
        </is>
      </c>
      <c r="H11" s="23" t="inlineStr">
        <is>
          <t>Mid-Market</t>
        </is>
      </c>
      <c r="I11" s="23" t="inlineStr">
        <is>
          <t>Professional Services</t>
        </is>
      </c>
      <c r="J11" s="8" t="inlineStr">
        <is>
          <t>Cloud Migration Consulting</t>
        </is>
      </c>
      <c r="K11" s="23" t="inlineStr">
        <is>
          <t>Sofia Rodriguez</t>
        </is>
      </c>
      <c r="L11" s="24" t="n">
        <v>2</v>
      </c>
      <c r="M11" s="25" t="n">
        <v>7395.26</v>
      </c>
      <c r="N11" s="25" t="n">
        <v>14790.52</v>
      </c>
      <c r="O11" s="25" t="n">
        <v>6172.34</v>
      </c>
      <c r="P11" s="25" t="n">
        <v>8618.18</v>
      </c>
      <c r="Q11" s="25" t="n">
        <v>1215.88</v>
      </c>
      <c r="R11" s="25" t="n">
        <v>16825.52</v>
      </c>
      <c r="S11" s="25" t="n">
        <v>14790.52</v>
      </c>
      <c r="T11" s="26" t="n">
        <v>-0.1209</v>
      </c>
      <c r="U11" s="25" t="n">
        <v>17490.77</v>
      </c>
      <c r="V11" s="26" t="n">
        <v>0.8456</v>
      </c>
      <c r="W11" s="21" t="inlineStr">
        <is>
          <t>Winter</t>
        </is>
      </c>
    </row>
    <row r="12" ht="20" customHeight="1">
      <c r="A12" s="15" t="inlineStr">
        <is>
          <t>ORD-2024-1011</t>
        </is>
      </c>
      <c r="B12" s="16" t="n">
        <v>45319</v>
      </c>
      <c r="C12" s="17" t="inlineStr">
        <is>
          <t>January</t>
        </is>
      </c>
      <c r="D12" s="15" t="inlineStr">
        <is>
          <t>Q1</t>
        </is>
      </c>
      <c r="E12" s="15" t="n">
        <v>2024</v>
      </c>
      <c r="F12" s="17" t="inlineStr">
        <is>
          <t>Asia-Pacific</t>
        </is>
      </c>
      <c r="G12" s="17" t="inlineStr">
        <is>
          <t>Australia</t>
        </is>
      </c>
      <c r="H12" s="17" t="inlineStr">
        <is>
          <t>Enterprise</t>
        </is>
      </c>
      <c r="I12" s="17" t="inlineStr">
        <is>
          <t>Cloud Software</t>
        </is>
      </c>
      <c r="J12" s="11" t="inlineStr">
        <is>
          <t>Cloud Storage Enterprise</t>
        </is>
      </c>
      <c r="K12" s="17" t="inlineStr">
        <is>
          <t>David Kim</t>
        </is>
      </c>
      <c r="L12" s="18" t="n">
        <v>24</v>
      </c>
      <c r="M12" s="19" t="n">
        <v>780.8</v>
      </c>
      <c r="N12" s="19" t="n">
        <v>18739.2</v>
      </c>
      <c r="O12" s="19" t="n">
        <v>2948.87</v>
      </c>
      <c r="P12" s="19" t="n">
        <v>15790.33</v>
      </c>
      <c r="Q12" s="19" t="n">
        <v>1454.31</v>
      </c>
      <c r="R12" s="19" t="n">
        <v>16964.81</v>
      </c>
      <c r="S12" s="19" t="n">
        <v>18739.2</v>
      </c>
      <c r="T12" s="20" t="n">
        <v>0.1046</v>
      </c>
      <c r="U12" s="19" t="n">
        <v>20972.83</v>
      </c>
      <c r="V12" s="20" t="n">
        <v>0.8935</v>
      </c>
      <c r="W12" s="15" t="inlineStr">
        <is>
          <t>Winter</t>
        </is>
      </c>
    </row>
    <row r="13" ht="20" customHeight="1">
      <c r="A13" s="21" t="inlineStr">
        <is>
          <t>ORD-2024-1012</t>
        </is>
      </c>
      <c r="B13" s="22" t="n">
        <v>45321</v>
      </c>
      <c r="C13" s="23" t="inlineStr">
        <is>
          <t>January</t>
        </is>
      </c>
      <c r="D13" s="21" t="inlineStr">
        <is>
          <t>Q1</t>
        </is>
      </c>
      <c r="E13" s="21" t="n">
        <v>2024</v>
      </c>
      <c r="F13" s="23" t="inlineStr">
        <is>
          <t>Asia-Pacific</t>
        </is>
      </c>
      <c r="G13" s="23" t="inlineStr">
        <is>
          <t>India</t>
        </is>
      </c>
      <c r="H13" s="23" t="inlineStr">
        <is>
          <t>Enterprise</t>
        </is>
      </c>
      <c r="I13" s="23" t="inlineStr">
        <is>
          <t>Cloud Software</t>
        </is>
      </c>
      <c r="J13" s="8" t="inlineStr">
        <is>
          <t>SaaS Core License</t>
        </is>
      </c>
      <c r="K13" s="23" t="inlineStr">
        <is>
          <t>Chloe Bennett</t>
        </is>
      </c>
      <c r="L13" s="24" t="n">
        <v>48</v>
      </c>
      <c r="M13" s="25" t="n">
        <v>1194.39</v>
      </c>
      <c r="N13" s="25" t="n">
        <v>57330.72</v>
      </c>
      <c r="O13" s="25" t="n">
        <v>8345.92</v>
      </c>
      <c r="P13" s="25" t="n">
        <v>48984.8</v>
      </c>
      <c r="Q13" s="25" t="n">
        <v>4415.29</v>
      </c>
      <c r="R13" s="25" t="n">
        <v>50284.84</v>
      </c>
      <c r="S13" s="25" t="n">
        <v>57330.72</v>
      </c>
      <c r="T13" s="26" t="n">
        <v>0.1401</v>
      </c>
      <c r="U13" s="25" t="n">
        <v>51803.64</v>
      </c>
      <c r="V13" s="26" t="n">
        <v>1.1067</v>
      </c>
      <c r="W13" s="21" t="inlineStr">
        <is>
          <t>Winter</t>
        </is>
      </c>
    </row>
    <row r="14" ht="20" customHeight="1">
      <c r="A14" s="15" t="inlineStr">
        <is>
          <t>ORD-2024-1013</t>
        </is>
      </c>
      <c r="B14" s="16" t="n">
        <v>45324</v>
      </c>
      <c r="C14" s="17" t="inlineStr">
        <is>
          <t>February</t>
        </is>
      </c>
      <c r="D14" s="15" t="inlineStr">
        <is>
          <t>Q1</t>
        </is>
      </c>
      <c r="E14" s="15" t="n">
        <v>2024</v>
      </c>
      <c r="F14" s="17" t="inlineStr">
        <is>
          <t>Asia-Pacific</t>
        </is>
      </c>
      <c r="G14" s="17" t="inlineStr">
        <is>
          <t>Australia</t>
        </is>
      </c>
      <c r="H14" s="17" t="inlineStr">
        <is>
          <t>Enterprise</t>
        </is>
      </c>
      <c r="I14" s="17" t="inlineStr">
        <is>
          <t>Cybersecurity</t>
        </is>
      </c>
      <c r="J14" s="11" t="inlineStr">
        <is>
          <t>Endpoint Detection X</t>
        </is>
      </c>
      <c r="K14" s="17" t="inlineStr">
        <is>
          <t>David Kim</t>
        </is>
      </c>
      <c r="L14" s="18" t="n">
        <v>15</v>
      </c>
      <c r="M14" s="19" t="n">
        <v>1048.55</v>
      </c>
      <c r="N14" s="19" t="n">
        <v>15728.25</v>
      </c>
      <c r="O14" s="19" t="n">
        <v>3107.66</v>
      </c>
      <c r="P14" s="19" t="n">
        <v>12620.59</v>
      </c>
      <c r="Q14" s="19" t="n">
        <v>1591.92</v>
      </c>
      <c r="R14" s="19" t="n">
        <v>17006.89</v>
      </c>
      <c r="S14" s="19" t="n">
        <v>15728.25</v>
      </c>
      <c r="T14" s="20" t="n">
        <v>-0.0752</v>
      </c>
      <c r="U14" s="19" t="n">
        <v>16285.37</v>
      </c>
      <c r="V14" s="20" t="n">
        <v>0.9658</v>
      </c>
      <c r="W14" s="15" t="inlineStr">
        <is>
          <t>Winter</t>
        </is>
      </c>
    </row>
    <row r="15" ht="20" customHeight="1">
      <c r="A15" s="21" t="inlineStr">
        <is>
          <t>ORD-2024-1014</t>
        </is>
      </c>
      <c r="B15" s="22" t="n">
        <v>45327</v>
      </c>
      <c r="C15" s="23" t="inlineStr">
        <is>
          <t>February</t>
        </is>
      </c>
      <c r="D15" s="21" t="inlineStr">
        <is>
          <t>Q1</t>
        </is>
      </c>
      <c r="E15" s="21" t="n">
        <v>2024</v>
      </c>
      <c r="F15" s="23" t="inlineStr">
        <is>
          <t>Asia-Pacific</t>
        </is>
      </c>
      <c r="G15" s="23" t="inlineStr">
        <is>
          <t>Australia</t>
        </is>
      </c>
      <c r="H15" s="23" t="inlineStr">
        <is>
          <t>SMB</t>
        </is>
      </c>
      <c r="I15" s="23" t="inlineStr">
        <is>
          <t>Hardware &amp; Infrastructure</t>
        </is>
      </c>
      <c r="J15" s="8" t="inlineStr">
        <is>
          <t>Edge Gateway Hub</t>
        </is>
      </c>
      <c r="K15" s="23" t="inlineStr">
        <is>
          <t>Sofia Rodriguez</t>
        </is>
      </c>
      <c r="L15" s="24" t="n">
        <v>4</v>
      </c>
      <c r="M15" s="25" t="n">
        <v>929.08</v>
      </c>
      <c r="N15" s="25" t="n">
        <v>3716.32</v>
      </c>
      <c r="O15" s="25" t="n">
        <v>2131.14</v>
      </c>
      <c r="P15" s="25" t="n">
        <v>1585.18</v>
      </c>
      <c r="Q15" s="25" t="n">
        <v>513.01</v>
      </c>
      <c r="R15" s="25" t="n">
        <v>3234.96</v>
      </c>
      <c r="S15" s="25" t="n">
        <v>3716.32</v>
      </c>
      <c r="T15" s="26" t="n">
        <v>0.1488</v>
      </c>
      <c r="U15" s="25" t="n">
        <v>4433.32</v>
      </c>
      <c r="V15" s="26" t="n">
        <v>0.8383</v>
      </c>
      <c r="W15" s="21" t="inlineStr">
        <is>
          <t>Winter</t>
        </is>
      </c>
    </row>
    <row r="16" ht="20" customHeight="1">
      <c r="A16" s="15" t="inlineStr">
        <is>
          <t>ORD-2024-1015</t>
        </is>
      </c>
      <c r="B16" s="16" t="n">
        <v>45329</v>
      </c>
      <c r="C16" s="17" t="inlineStr">
        <is>
          <t>February</t>
        </is>
      </c>
      <c r="D16" s="15" t="inlineStr">
        <is>
          <t>Q1</t>
        </is>
      </c>
      <c r="E16" s="15" t="n">
        <v>2024</v>
      </c>
      <c r="F16" s="17" t="inlineStr">
        <is>
          <t>Latin America</t>
        </is>
      </c>
      <c r="G16" s="17" t="inlineStr">
        <is>
          <t>Brazil</t>
        </is>
      </c>
      <c r="H16" s="17" t="inlineStr">
        <is>
          <t>SMB</t>
        </is>
      </c>
      <c r="I16" s="17" t="inlineStr">
        <is>
          <t>Cloud Software</t>
        </is>
      </c>
      <c r="J16" s="11" t="inlineStr">
        <is>
          <t>SaaS Core License</t>
        </is>
      </c>
      <c r="K16" s="17" t="inlineStr">
        <is>
          <t>James O'Connor</t>
        </is>
      </c>
      <c r="L16" s="18" t="n">
        <v>36</v>
      </c>
      <c r="M16" s="19" t="n">
        <v>1189.34</v>
      </c>
      <c r="N16" s="19" t="n">
        <v>42816.24</v>
      </c>
      <c r="O16" s="19" t="n">
        <v>6564.75</v>
      </c>
      <c r="P16" s="19" t="n">
        <v>36251.49</v>
      </c>
      <c r="Q16" s="19" t="n">
        <v>4141.15</v>
      </c>
      <c r="R16" s="19" t="n">
        <v>47145.98</v>
      </c>
      <c r="S16" s="19" t="n">
        <v>42816.24</v>
      </c>
      <c r="T16" s="20" t="n">
        <v>-0.09180000000000001</v>
      </c>
      <c r="U16" s="19" t="n">
        <v>49396.22</v>
      </c>
      <c r="V16" s="20" t="n">
        <v>0.8668</v>
      </c>
      <c r="W16" s="15" t="inlineStr">
        <is>
          <t>Winter</t>
        </is>
      </c>
    </row>
    <row r="17" ht="20" customHeight="1">
      <c r="A17" s="21" t="inlineStr">
        <is>
          <t>ORD-2024-1016</t>
        </is>
      </c>
      <c r="B17" s="22" t="n">
        <v>45332</v>
      </c>
      <c r="C17" s="23" t="inlineStr">
        <is>
          <t>February</t>
        </is>
      </c>
      <c r="D17" s="21" t="inlineStr">
        <is>
          <t>Q1</t>
        </is>
      </c>
      <c r="E17" s="21" t="n">
        <v>2024</v>
      </c>
      <c r="F17" s="23" t="inlineStr">
        <is>
          <t>North America</t>
        </is>
      </c>
      <c r="G17" s="23" t="inlineStr">
        <is>
          <t>United States</t>
        </is>
      </c>
      <c r="H17" s="23" t="inlineStr">
        <is>
          <t>Enterprise</t>
        </is>
      </c>
      <c r="I17" s="23" t="inlineStr">
        <is>
          <t>Cloud Software</t>
        </is>
      </c>
      <c r="J17" s="8" t="inlineStr">
        <is>
          <t>Advanced Analytics Suite</t>
        </is>
      </c>
      <c r="K17" s="23" t="inlineStr">
        <is>
          <t>Marcus Vance</t>
        </is>
      </c>
      <c r="L17" s="24" t="n">
        <v>60</v>
      </c>
      <c r="M17" s="25" t="n">
        <v>2525.7</v>
      </c>
      <c r="N17" s="25" t="n">
        <v>151542</v>
      </c>
      <c r="O17" s="25" t="n">
        <v>21704.06</v>
      </c>
      <c r="P17" s="25" t="n">
        <v>129837.94</v>
      </c>
      <c r="Q17" s="25" t="n">
        <v>15848.93</v>
      </c>
      <c r="R17" s="25" t="n">
        <v>148686.65</v>
      </c>
      <c r="S17" s="25" t="n">
        <v>151542</v>
      </c>
      <c r="T17" s="26" t="n">
        <v>0.0192</v>
      </c>
      <c r="U17" s="25" t="n">
        <v>157652.08</v>
      </c>
      <c r="V17" s="26" t="n">
        <v>0.9612000000000001</v>
      </c>
      <c r="W17" s="21" t="inlineStr">
        <is>
          <t>Winter</t>
        </is>
      </c>
    </row>
    <row r="18" ht="20" customHeight="1">
      <c r="A18" s="15" t="inlineStr">
        <is>
          <t>ORD-2024-1017</t>
        </is>
      </c>
      <c r="B18" s="16" t="n">
        <v>45335</v>
      </c>
      <c r="C18" s="17" t="inlineStr">
        <is>
          <t>February</t>
        </is>
      </c>
      <c r="D18" s="15" t="inlineStr">
        <is>
          <t>Q1</t>
        </is>
      </c>
      <c r="E18" s="15" t="n">
        <v>2024</v>
      </c>
      <c r="F18" s="17" t="inlineStr">
        <is>
          <t>Latin America</t>
        </is>
      </c>
      <c r="G18" s="17" t="inlineStr">
        <is>
          <t>Brazil</t>
        </is>
      </c>
      <c r="H18" s="17" t="inlineStr">
        <is>
          <t>Public Sector</t>
        </is>
      </c>
      <c r="I18" s="17" t="inlineStr">
        <is>
          <t>Cloud Software</t>
        </is>
      </c>
      <c r="J18" s="11" t="inlineStr">
        <is>
          <t>Advanced Analytics Suite</t>
        </is>
      </c>
      <c r="K18" s="17" t="inlineStr">
        <is>
          <t>Eleanor Vance</t>
        </is>
      </c>
      <c r="L18" s="18" t="n">
        <v>48</v>
      </c>
      <c r="M18" s="19" t="n">
        <v>2442.74</v>
      </c>
      <c r="N18" s="19" t="n">
        <v>117251.52</v>
      </c>
      <c r="O18" s="19" t="n">
        <v>18082.85</v>
      </c>
      <c r="P18" s="19" t="n">
        <v>99168.67</v>
      </c>
      <c r="Q18" s="19" t="n">
        <v>15107.92</v>
      </c>
      <c r="R18" s="19" t="n">
        <v>131867.4</v>
      </c>
      <c r="S18" s="19" t="n">
        <v>117251.52</v>
      </c>
      <c r="T18" s="20" t="n">
        <v>-0.1108</v>
      </c>
      <c r="U18" s="19" t="n">
        <v>136186.42</v>
      </c>
      <c r="V18" s="20" t="n">
        <v>0.861</v>
      </c>
      <c r="W18" s="15" t="inlineStr">
        <is>
          <t>Winter</t>
        </is>
      </c>
    </row>
    <row r="19" ht="20" customHeight="1">
      <c r="A19" s="21" t="inlineStr">
        <is>
          <t>ORD-2024-1018</t>
        </is>
      </c>
      <c r="B19" s="22" t="n">
        <v>45337</v>
      </c>
      <c r="C19" s="23" t="inlineStr">
        <is>
          <t>February</t>
        </is>
      </c>
      <c r="D19" s="21" t="inlineStr">
        <is>
          <t>Q1</t>
        </is>
      </c>
      <c r="E19" s="21" t="n">
        <v>2024</v>
      </c>
      <c r="F19" s="23" t="inlineStr">
        <is>
          <t>Latin America</t>
        </is>
      </c>
      <c r="G19" s="23" t="inlineStr">
        <is>
          <t>Mexico</t>
        </is>
      </c>
      <c r="H19" s="23" t="inlineStr">
        <is>
          <t>Enterprise</t>
        </is>
      </c>
      <c r="I19" s="23" t="inlineStr">
        <is>
          <t>Cybersecurity</t>
        </is>
      </c>
      <c r="J19" s="8" t="inlineStr">
        <is>
          <t>Endpoint Detection X</t>
        </is>
      </c>
      <c r="K19" s="23" t="inlineStr">
        <is>
          <t>Marcus Vance</t>
        </is>
      </c>
      <c r="L19" s="24" t="n">
        <v>30</v>
      </c>
      <c r="M19" s="25" t="n">
        <v>1059.65</v>
      </c>
      <c r="N19" s="25" t="n">
        <v>31789.5</v>
      </c>
      <c r="O19" s="25" t="n">
        <v>6566.4</v>
      </c>
      <c r="P19" s="25" t="n">
        <v>25223.1</v>
      </c>
      <c r="Q19" s="25" t="n">
        <v>3268.14</v>
      </c>
      <c r="R19" s="25" t="n">
        <v>33902.23</v>
      </c>
      <c r="S19" s="25" t="n">
        <v>31789.5</v>
      </c>
      <c r="T19" s="26" t="n">
        <v>-0.0623</v>
      </c>
      <c r="U19" s="25" t="n">
        <v>38009.88</v>
      </c>
      <c r="V19" s="26" t="n">
        <v>0.8363</v>
      </c>
      <c r="W19" s="21" t="inlineStr">
        <is>
          <t>Winter</t>
        </is>
      </c>
    </row>
    <row r="20" ht="20" customHeight="1">
      <c r="A20" s="15" t="inlineStr">
        <is>
          <t>ORD-2024-1019</t>
        </is>
      </c>
      <c r="B20" s="16" t="n">
        <v>45340</v>
      </c>
      <c r="C20" s="17" t="inlineStr">
        <is>
          <t>February</t>
        </is>
      </c>
      <c r="D20" s="15" t="inlineStr">
        <is>
          <t>Q1</t>
        </is>
      </c>
      <c r="E20" s="15" t="n">
        <v>2024</v>
      </c>
      <c r="F20" s="17" t="inlineStr">
        <is>
          <t>Latin America</t>
        </is>
      </c>
      <c r="G20" s="17" t="inlineStr">
        <is>
          <t>Brazil</t>
        </is>
      </c>
      <c r="H20" s="17" t="inlineStr">
        <is>
          <t>Public Sector</t>
        </is>
      </c>
      <c r="I20" s="17" t="inlineStr">
        <is>
          <t>Cloud Software</t>
        </is>
      </c>
      <c r="J20" s="11" t="inlineStr">
        <is>
          <t>Advanced Analytics Suite</t>
        </is>
      </c>
      <c r="K20" s="17" t="inlineStr">
        <is>
          <t>Sarah Jenkins</t>
        </is>
      </c>
      <c r="L20" s="18" t="n">
        <v>48</v>
      </c>
      <c r="M20" s="19" t="n">
        <v>2394.05</v>
      </c>
      <c r="N20" s="19" t="n">
        <v>114914.4</v>
      </c>
      <c r="O20" s="19" t="n">
        <v>17668.95</v>
      </c>
      <c r="P20" s="19" t="n">
        <v>97245.45</v>
      </c>
      <c r="Q20" s="19" t="n">
        <v>8590.66</v>
      </c>
      <c r="R20" s="19" t="n">
        <v>118720.53</v>
      </c>
      <c r="S20" s="19" t="n">
        <v>114914.4</v>
      </c>
      <c r="T20" s="20" t="n">
        <v>-0.0321</v>
      </c>
      <c r="U20" s="19" t="n">
        <v>126100.3</v>
      </c>
      <c r="V20" s="20" t="n">
        <v>0.9113</v>
      </c>
      <c r="W20" s="15" t="inlineStr">
        <is>
          <t>Winter</t>
        </is>
      </c>
    </row>
    <row r="21" ht="20" customHeight="1">
      <c r="A21" s="21" t="inlineStr">
        <is>
          <t>ORD-2024-1020</t>
        </is>
      </c>
      <c r="B21" s="22" t="n">
        <v>45343</v>
      </c>
      <c r="C21" s="23" t="inlineStr">
        <is>
          <t>February</t>
        </is>
      </c>
      <c r="D21" s="21" t="inlineStr">
        <is>
          <t>Q1</t>
        </is>
      </c>
      <c r="E21" s="21" t="n">
        <v>2024</v>
      </c>
      <c r="F21" s="23" t="inlineStr">
        <is>
          <t>Asia-Pacific</t>
        </is>
      </c>
      <c r="G21" s="23" t="inlineStr">
        <is>
          <t>India</t>
        </is>
      </c>
      <c r="H21" s="23" t="inlineStr">
        <is>
          <t>Mid-Market</t>
        </is>
      </c>
      <c r="I21" s="23" t="inlineStr">
        <is>
          <t>Cybersecurity</t>
        </is>
      </c>
      <c r="J21" s="8" t="inlineStr">
        <is>
          <t>Endpoint Detection X</t>
        </is>
      </c>
      <c r="K21" s="23" t="inlineStr">
        <is>
          <t>Marcus Vance</t>
        </is>
      </c>
      <c r="L21" s="24" t="n">
        <v>30</v>
      </c>
      <c r="M21" s="25" t="n">
        <v>1148.46</v>
      </c>
      <c r="N21" s="25" t="n">
        <v>34453.8</v>
      </c>
      <c r="O21" s="25" t="n">
        <v>7097.16</v>
      </c>
      <c r="P21" s="25" t="n">
        <v>27356.64</v>
      </c>
      <c r="Q21" s="25" t="n">
        <v>2893.01</v>
      </c>
      <c r="R21" s="25" t="n">
        <v>39097.9</v>
      </c>
      <c r="S21" s="25" t="n">
        <v>34453.8</v>
      </c>
      <c r="T21" s="26" t="n">
        <v>-0.1188</v>
      </c>
      <c r="U21" s="25" t="n">
        <v>28458.65</v>
      </c>
      <c r="V21" s="26" t="n">
        <v>1.2107</v>
      </c>
      <c r="W21" s="21" t="inlineStr">
        <is>
          <t>Winter</t>
        </is>
      </c>
    </row>
    <row r="22" ht="20" customHeight="1">
      <c r="A22" s="15" t="inlineStr">
        <is>
          <t>ORD-2024-1021</t>
        </is>
      </c>
      <c r="B22" s="16" t="n">
        <v>45346</v>
      </c>
      <c r="C22" s="17" t="inlineStr">
        <is>
          <t>February</t>
        </is>
      </c>
      <c r="D22" s="15" t="inlineStr">
        <is>
          <t>Q1</t>
        </is>
      </c>
      <c r="E22" s="15" t="n">
        <v>2024</v>
      </c>
      <c r="F22" s="17" t="inlineStr">
        <is>
          <t>Europe</t>
        </is>
      </c>
      <c r="G22" s="17" t="inlineStr">
        <is>
          <t>France</t>
        </is>
      </c>
      <c r="H22" s="17" t="inlineStr">
        <is>
          <t>Enterprise</t>
        </is>
      </c>
      <c r="I22" s="17" t="inlineStr">
        <is>
          <t>Hardware &amp; Infrastructure</t>
        </is>
      </c>
      <c r="J22" s="11" t="inlineStr">
        <is>
          <t>Secure Route Switch</t>
        </is>
      </c>
      <c r="K22" s="17" t="inlineStr">
        <is>
          <t>Marcus Vance</t>
        </is>
      </c>
      <c r="L22" s="18" t="n">
        <v>20</v>
      </c>
      <c r="M22" s="19" t="n">
        <v>1190</v>
      </c>
      <c r="N22" s="19" t="n">
        <v>23800</v>
      </c>
      <c r="O22" s="19" t="n">
        <v>13515.6</v>
      </c>
      <c r="P22" s="19" t="n">
        <v>10284.4</v>
      </c>
      <c r="Q22" s="19" t="n">
        <v>2018.12</v>
      </c>
      <c r="R22" s="19" t="n">
        <v>23062.08</v>
      </c>
      <c r="S22" s="19" t="n">
        <v>23800</v>
      </c>
      <c r="T22" s="20" t="n">
        <v>0.032</v>
      </c>
      <c r="U22" s="19" t="n">
        <v>22863.04</v>
      </c>
      <c r="V22" s="20" t="n">
        <v>1.041</v>
      </c>
      <c r="W22" s="15" t="inlineStr">
        <is>
          <t>Winter</t>
        </is>
      </c>
    </row>
    <row r="23" ht="20" customHeight="1">
      <c r="A23" s="21" t="inlineStr">
        <is>
          <t>ORD-2024-1022</t>
        </is>
      </c>
      <c r="B23" s="22" t="n">
        <v>45348</v>
      </c>
      <c r="C23" s="23" t="inlineStr">
        <is>
          <t>February</t>
        </is>
      </c>
      <c r="D23" s="21" t="inlineStr">
        <is>
          <t>Q1</t>
        </is>
      </c>
      <c r="E23" s="21" t="n">
        <v>2024</v>
      </c>
      <c r="F23" s="23" t="inlineStr">
        <is>
          <t>North America</t>
        </is>
      </c>
      <c r="G23" s="23" t="inlineStr">
        <is>
          <t>United States</t>
        </is>
      </c>
      <c r="H23" s="23" t="inlineStr">
        <is>
          <t>Mid-Market</t>
        </is>
      </c>
      <c r="I23" s="23" t="inlineStr">
        <is>
          <t>Cloud Software</t>
        </is>
      </c>
      <c r="J23" s="8" t="inlineStr">
        <is>
          <t>SaaS Core License</t>
        </is>
      </c>
      <c r="K23" s="23" t="inlineStr">
        <is>
          <t>Sofia Rodriguez</t>
        </is>
      </c>
      <c r="L23" s="24" t="n">
        <v>24</v>
      </c>
      <c r="M23" s="25" t="n">
        <v>1209.74</v>
      </c>
      <c r="N23" s="25" t="n">
        <v>29033.76</v>
      </c>
      <c r="O23" s="25" t="n">
        <v>4218.49</v>
      </c>
      <c r="P23" s="25" t="n">
        <v>24815.27</v>
      </c>
      <c r="Q23" s="25" t="n">
        <v>2664.88</v>
      </c>
      <c r="R23" s="25" t="n">
        <v>32988.92</v>
      </c>
      <c r="S23" s="25" t="n">
        <v>29033.76</v>
      </c>
      <c r="T23" s="26" t="n">
        <v>-0.1199</v>
      </c>
      <c r="U23" s="25" t="n">
        <v>32957.1</v>
      </c>
      <c r="V23" s="26" t="n">
        <v>0.881</v>
      </c>
      <c r="W23" s="21" t="inlineStr">
        <is>
          <t>Winter</t>
        </is>
      </c>
    </row>
    <row r="24" ht="20" customHeight="1">
      <c r="A24" s="15" t="inlineStr">
        <is>
          <t>ORD-2024-1023</t>
        </is>
      </c>
      <c r="B24" s="16" t="n">
        <v>45351</v>
      </c>
      <c r="C24" s="17" t="inlineStr">
        <is>
          <t>February</t>
        </is>
      </c>
      <c r="D24" s="15" t="inlineStr">
        <is>
          <t>Q1</t>
        </is>
      </c>
      <c r="E24" s="15" t="n">
        <v>2024</v>
      </c>
      <c r="F24" s="17" t="inlineStr">
        <is>
          <t>Europe</t>
        </is>
      </c>
      <c r="G24" s="17" t="inlineStr">
        <is>
          <t>United Kingdom</t>
        </is>
      </c>
      <c r="H24" s="17" t="inlineStr">
        <is>
          <t>SMB</t>
        </is>
      </c>
      <c r="I24" s="17" t="inlineStr">
        <is>
          <t>Hardware &amp; Infrastructure</t>
        </is>
      </c>
      <c r="J24" s="11" t="inlineStr">
        <is>
          <t>Secure Route Switch</t>
        </is>
      </c>
      <c r="K24" s="17" t="inlineStr">
        <is>
          <t>Sofia Rodriguez</t>
        </is>
      </c>
      <c r="L24" s="18" t="n">
        <v>12</v>
      </c>
      <c r="M24" s="19" t="n">
        <v>1250.3</v>
      </c>
      <c r="N24" s="19" t="n">
        <v>15003.6</v>
      </c>
      <c r="O24" s="19" t="n">
        <v>8033.87</v>
      </c>
      <c r="P24" s="19" t="n">
        <v>6969.73</v>
      </c>
      <c r="Q24" s="19" t="n">
        <v>1412.49</v>
      </c>
      <c r="R24" s="19" t="n">
        <v>13360.71</v>
      </c>
      <c r="S24" s="19" t="n">
        <v>15003.6</v>
      </c>
      <c r="T24" s="20" t="n">
        <v>0.123</v>
      </c>
      <c r="U24" s="19" t="n">
        <v>13386.63</v>
      </c>
      <c r="V24" s="20" t="n">
        <v>1.1208</v>
      </c>
      <c r="W24" s="15" t="inlineStr">
        <is>
          <t>Winter</t>
        </is>
      </c>
    </row>
    <row r="25" ht="20" customHeight="1">
      <c r="A25" s="21" t="inlineStr">
        <is>
          <t>ORD-2024-1024</t>
        </is>
      </c>
      <c r="B25" s="22" t="n">
        <v>45354</v>
      </c>
      <c r="C25" s="23" t="inlineStr">
        <is>
          <t>March</t>
        </is>
      </c>
      <c r="D25" s="21" t="inlineStr">
        <is>
          <t>Q1</t>
        </is>
      </c>
      <c r="E25" s="21" t="n">
        <v>2024</v>
      </c>
      <c r="F25" s="23" t="inlineStr">
        <is>
          <t>Latin America</t>
        </is>
      </c>
      <c r="G25" s="23" t="inlineStr">
        <is>
          <t>Mexico</t>
        </is>
      </c>
      <c r="H25" s="23" t="inlineStr">
        <is>
          <t>SMB</t>
        </is>
      </c>
      <c r="I25" s="23" t="inlineStr">
        <is>
          <t>Cloud Software</t>
        </is>
      </c>
      <c r="J25" s="8" t="inlineStr">
        <is>
          <t>CRM Pro Core</t>
        </is>
      </c>
      <c r="K25" s="23" t="inlineStr">
        <is>
          <t>Sofia Rodriguez</t>
        </is>
      </c>
      <c r="L25" s="24" t="n">
        <v>36</v>
      </c>
      <c r="M25" s="25" t="n">
        <v>1437.41</v>
      </c>
      <c r="N25" s="25" t="n">
        <v>51746.76</v>
      </c>
      <c r="O25" s="25" t="n">
        <v>7865.84</v>
      </c>
      <c r="P25" s="25" t="n">
        <v>43880.92</v>
      </c>
      <c r="Q25" s="25" t="n">
        <v>6415.7</v>
      </c>
      <c r="R25" s="25" t="n">
        <v>51494.57</v>
      </c>
      <c r="S25" s="25" t="n">
        <v>51746.76</v>
      </c>
      <c r="T25" s="26" t="n">
        <v>0.0049</v>
      </c>
      <c r="U25" s="25" t="n">
        <v>58590.63</v>
      </c>
      <c r="V25" s="26" t="n">
        <v>0.8832</v>
      </c>
      <c r="W25" s="21" t="inlineStr">
        <is>
          <t>Spring</t>
        </is>
      </c>
    </row>
    <row r="26" ht="20" customHeight="1">
      <c r="A26" s="15" t="inlineStr">
        <is>
          <t>ORD-2024-1025</t>
        </is>
      </c>
      <c r="B26" s="16" t="n">
        <v>45356</v>
      </c>
      <c r="C26" s="17" t="inlineStr">
        <is>
          <t>March</t>
        </is>
      </c>
      <c r="D26" s="15" t="inlineStr">
        <is>
          <t>Q1</t>
        </is>
      </c>
      <c r="E26" s="15" t="n">
        <v>2024</v>
      </c>
      <c r="F26" s="17" t="inlineStr">
        <is>
          <t>Latin America</t>
        </is>
      </c>
      <c r="G26" s="17" t="inlineStr">
        <is>
          <t>Brazil</t>
        </is>
      </c>
      <c r="H26" s="17" t="inlineStr">
        <is>
          <t>Mid-Market</t>
        </is>
      </c>
      <c r="I26" s="17" t="inlineStr">
        <is>
          <t>Cybersecurity</t>
        </is>
      </c>
      <c r="J26" s="11" t="inlineStr">
        <is>
          <t>Endpoint Detection X</t>
        </is>
      </c>
      <c r="K26" s="17" t="inlineStr">
        <is>
          <t>David Kim</t>
        </is>
      </c>
      <c r="L26" s="18" t="n">
        <v>45</v>
      </c>
      <c r="M26" s="19" t="n">
        <v>1141.43</v>
      </c>
      <c r="N26" s="19" t="n">
        <v>51364.35</v>
      </c>
      <c r="O26" s="19" t="n">
        <v>10691.87</v>
      </c>
      <c r="P26" s="19" t="n">
        <v>40672.48</v>
      </c>
      <c r="Q26" s="19" t="n">
        <v>4517.54</v>
      </c>
      <c r="R26" s="19" t="n">
        <v>47818.84</v>
      </c>
      <c r="S26" s="19" t="n">
        <v>51364.35</v>
      </c>
      <c r="T26" s="20" t="n">
        <v>0.0741</v>
      </c>
      <c r="U26" s="19" t="n">
        <v>43563.93</v>
      </c>
      <c r="V26" s="20" t="n">
        <v>1.1791</v>
      </c>
      <c r="W26" s="15" t="inlineStr">
        <is>
          <t>Spring</t>
        </is>
      </c>
    </row>
    <row r="27" ht="20" customHeight="1">
      <c r="A27" s="21" t="inlineStr">
        <is>
          <t>ORD-2024-1026</t>
        </is>
      </c>
      <c r="B27" s="22" t="n">
        <v>45359</v>
      </c>
      <c r="C27" s="23" t="inlineStr">
        <is>
          <t>March</t>
        </is>
      </c>
      <c r="D27" s="21" t="inlineStr">
        <is>
          <t>Q1</t>
        </is>
      </c>
      <c r="E27" s="21" t="n">
        <v>2024</v>
      </c>
      <c r="F27" s="23" t="inlineStr">
        <is>
          <t>Europe</t>
        </is>
      </c>
      <c r="G27" s="23" t="inlineStr">
        <is>
          <t>France</t>
        </is>
      </c>
      <c r="H27" s="23" t="inlineStr">
        <is>
          <t>Mid-Market</t>
        </is>
      </c>
      <c r="I27" s="23" t="inlineStr">
        <is>
          <t>Cloud Software</t>
        </is>
      </c>
      <c r="J27" s="8" t="inlineStr">
        <is>
          <t>SaaS Core License</t>
        </is>
      </c>
      <c r="K27" s="23" t="inlineStr">
        <is>
          <t>Sarah Jenkins</t>
        </is>
      </c>
      <c r="L27" s="24" t="n">
        <v>36</v>
      </c>
      <c r="M27" s="25" t="n">
        <v>1206.19</v>
      </c>
      <c r="N27" s="25" t="n">
        <v>43422.84</v>
      </c>
      <c r="O27" s="25" t="n">
        <v>6393.71</v>
      </c>
      <c r="P27" s="25" t="n">
        <v>37029.13</v>
      </c>
      <c r="Q27" s="25" t="n">
        <v>4231.93</v>
      </c>
      <c r="R27" s="25" t="n">
        <v>43941.87</v>
      </c>
      <c r="S27" s="25" t="n">
        <v>43422.84</v>
      </c>
      <c r="T27" s="26" t="n">
        <v>-0.0118</v>
      </c>
      <c r="U27" s="25" t="n">
        <v>35553.67</v>
      </c>
      <c r="V27" s="26" t="n">
        <v>1.2213</v>
      </c>
      <c r="W27" s="21" t="inlineStr">
        <is>
          <t>Spring</t>
        </is>
      </c>
    </row>
    <row r="28" ht="20" customHeight="1">
      <c r="A28" s="15" t="inlineStr">
        <is>
          <t>ORD-2024-1027</t>
        </is>
      </c>
      <c r="B28" s="16" t="n">
        <v>45362</v>
      </c>
      <c r="C28" s="17" t="inlineStr">
        <is>
          <t>March</t>
        </is>
      </c>
      <c r="D28" s="15" t="inlineStr">
        <is>
          <t>Q1</t>
        </is>
      </c>
      <c r="E28" s="15" t="n">
        <v>2024</v>
      </c>
      <c r="F28" s="17" t="inlineStr">
        <is>
          <t>Europe</t>
        </is>
      </c>
      <c r="G28" s="17" t="inlineStr">
        <is>
          <t>United Kingdom</t>
        </is>
      </c>
      <c r="H28" s="17" t="inlineStr">
        <is>
          <t>Mid-Market</t>
        </is>
      </c>
      <c r="I28" s="17" t="inlineStr">
        <is>
          <t>Cloud Software</t>
        </is>
      </c>
      <c r="J28" s="11" t="inlineStr">
        <is>
          <t>Advanced Analytics Suite</t>
        </is>
      </c>
      <c r="K28" s="17" t="inlineStr">
        <is>
          <t>James O'Connor</t>
        </is>
      </c>
      <c r="L28" s="18" t="n">
        <v>48</v>
      </c>
      <c r="M28" s="19" t="n">
        <v>2416.21</v>
      </c>
      <c r="N28" s="19" t="n">
        <v>115978.08</v>
      </c>
      <c r="O28" s="19" t="n">
        <v>17550.34</v>
      </c>
      <c r="P28" s="19" t="n">
        <v>98427.74000000001</v>
      </c>
      <c r="Q28" s="19" t="n">
        <v>12757.37</v>
      </c>
      <c r="R28" s="19" t="n">
        <v>104218.39</v>
      </c>
      <c r="S28" s="19" t="n">
        <v>115978.08</v>
      </c>
      <c r="T28" s="20" t="n">
        <v>0.1128</v>
      </c>
      <c r="U28" s="19" t="n">
        <v>110600.9</v>
      </c>
      <c r="V28" s="20" t="n">
        <v>1.0486</v>
      </c>
      <c r="W28" s="15" t="inlineStr">
        <is>
          <t>Spring</t>
        </is>
      </c>
    </row>
    <row r="29" ht="20" customHeight="1">
      <c r="A29" s="21" t="inlineStr">
        <is>
          <t>ORD-2024-1028</t>
        </is>
      </c>
      <c r="B29" s="22" t="n">
        <v>45364</v>
      </c>
      <c r="C29" s="23" t="inlineStr">
        <is>
          <t>March</t>
        </is>
      </c>
      <c r="D29" s="21" t="inlineStr">
        <is>
          <t>Q1</t>
        </is>
      </c>
      <c r="E29" s="21" t="n">
        <v>2024</v>
      </c>
      <c r="F29" s="23" t="inlineStr">
        <is>
          <t>Europe</t>
        </is>
      </c>
      <c r="G29" s="23" t="inlineStr">
        <is>
          <t>France</t>
        </is>
      </c>
      <c r="H29" s="23" t="inlineStr">
        <is>
          <t>Mid-Market</t>
        </is>
      </c>
      <c r="I29" s="23" t="inlineStr">
        <is>
          <t>Cybersecurity</t>
        </is>
      </c>
      <c r="J29" s="8" t="inlineStr">
        <is>
          <t>Firewall Guard Premium</t>
        </is>
      </c>
      <c r="K29" s="23" t="inlineStr">
        <is>
          <t>James O'Connor</t>
        </is>
      </c>
      <c r="L29" s="24" t="n">
        <v>75</v>
      </c>
      <c r="M29" s="25" t="n">
        <v>3171.6</v>
      </c>
      <c r="N29" s="25" t="n">
        <v>237870</v>
      </c>
      <c r="O29" s="25" t="n">
        <v>48444.52</v>
      </c>
      <c r="P29" s="25" t="n">
        <v>189425.48</v>
      </c>
      <c r="Q29" s="25" t="n">
        <v>21460.17</v>
      </c>
      <c r="R29" s="25" t="n">
        <v>262241.9</v>
      </c>
      <c r="S29" s="25" t="n">
        <v>237870</v>
      </c>
      <c r="T29" s="26" t="n">
        <v>-0.0929</v>
      </c>
      <c r="U29" s="25" t="n">
        <v>193790.97</v>
      </c>
      <c r="V29" s="26" t="n">
        <v>1.2275</v>
      </c>
      <c r="W29" s="21" t="inlineStr">
        <is>
          <t>Spring</t>
        </is>
      </c>
    </row>
    <row r="30" ht="20" customHeight="1">
      <c r="A30" s="15" t="inlineStr">
        <is>
          <t>ORD-2024-1029</t>
        </is>
      </c>
      <c r="B30" s="16" t="n">
        <v>45367</v>
      </c>
      <c r="C30" s="17" t="inlineStr">
        <is>
          <t>March</t>
        </is>
      </c>
      <c r="D30" s="15" t="inlineStr">
        <is>
          <t>Q1</t>
        </is>
      </c>
      <c r="E30" s="15" t="n">
        <v>2024</v>
      </c>
      <c r="F30" s="17" t="inlineStr">
        <is>
          <t>Latin America</t>
        </is>
      </c>
      <c r="G30" s="17" t="inlineStr">
        <is>
          <t>Brazil</t>
        </is>
      </c>
      <c r="H30" s="17" t="inlineStr">
        <is>
          <t>Enterprise</t>
        </is>
      </c>
      <c r="I30" s="17" t="inlineStr">
        <is>
          <t>Cloud Software</t>
        </is>
      </c>
      <c r="J30" s="11" t="inlineStr">
        <is>
          <t>Cloud Storage Enterprise</t>
        </is>
      </c>
      <c r="K30" s="17" t="inlineStr">
        <is>
          <t>Sofia Rodriguez</t>
        </is>
      </c>
      <c r="L30" s="18" t="n">
        <v>24</v>
      </c>
      <c r="M30" s="19" t="n">
        <v>822.21</v>
      </c>
      <c r="N30" s="19" t="n">
        <v>19733.04</v>
      </c>
      <c r="O30" s="19" t="n">
        <v>2945.73</v>
      </c>
      <c r="P30" s="19" t="n">
        <v>16787.31</v>
      </c>
      <c r="Q30" s="19" t="n">
        <v>2504.62</v>
      </c>
      <c r="R30" s="19" t="n">
        <v>21783.74</v>
      </c>
      <c r="S30" s="19" t="n">
        <v>19733.04</v>
      </c>
      <c r="T30" s="20" t="n">
        <v>-0.0941</v>
      </c>
      <c r="U30" s="19" t="n">
        <v>23342.37</v>
      </c>
      <c r="V30" s="20" t="n">
        <v>0.8454</v>
      </c>
      <c r="W30" s="15" t="inlineStr">
        <is>
          <t>Spring</t>
        </is>
      </c>
    </row>
    <row r="31" ht="20" customHeight="1">
      <c r="A31" s="21" t="inlineStr">
        <is>
          <t>ORD-2024-1030</t>
        </is>
      </c>
      <c r="B31" s="22" t="n">
        <v>45370</v>
      </c>
      <c r="C31" s="23" t="inlineStr">
        <is>
          <t>March</t>
        </is>
      </c>
      <c r="D31" s="21" t="inlineStr">
        <is>
          <t>Q1</t>
        </is>
      </c>
      <c r="E31" s="21" t="n">
        <v>2024</v>
      </c>
      <c r="F31" s="23" t="inlineStr">
        <is>
          <t>Latin America</t>
        </is>
      </c>
      <c r="G31" s="23" t="inlineStr">
        <is>
          <t>Mexico</t>
        </is>
      </c>
      <c r="H31" s="23" t="inlineStr">
        <is>
          <t>Mid-Market</t>
        </is>
      </c>
      <c r="I31" s="23" t="inlineStr">
        <is>
          <t>Cloud Software</t>
        </is>
      </c>
      <c r="J31" s="8" t="inlineStr">
        <is>
          <t>SaaS Core License</t>
        </is>
      </c>
      <c r="K31" s="23" t="inlineStr">
        <is>
          <t>Eleanor Vance</t>
        </is>
      </c>
      <c r="L31" s="24" t="n">
        <v>24</v>
      </c>
      <c r="M31" s="25" t="n">
        <v>1197.64</v>
      </c>
      <c r="N31" s="25" t="n">
        <v>28743.36</v>
      </c>
      <c r="O31" s="25" t="n">
        <v>4403.68</v>
      </c>
      <c r="P31" s="25" t="n">
        <v>24339.68</v>
      </c>
      <c r="Q31" s="25" t="n">
        <v>3075.43</v>
      </c>
      <c r="R31" s="25" t="n">
        <v>32668.87</v>
      </c>
      <c r="S31" s="25" t="n">
        <v>28743.36</v>
      </c>
      <c r="T31" s="26" t="n">
        <v>-0.1202</v>
      </c>
      <c r="U31" s="25" t="n">
        <v>32493.86</v>
      </c>
      <c r="V31" s="26" t="n">
        <v>0.8846000000000001</v>
      </c>
      <c r="W31" s="21" t="inlineStr">
        <is>
          <t>Spring</t>
        </is>
      </c>
    </row>
    <row r="32" ht="20" customHeight="1">
      <c r="A32" s="15" t="inlineStr">
        <is>
          <t>ORD-2024-1031</t>
        </is>
      </c>
      <c r="B32" s="16" t="n">
        <v>45373</v>
      </c>
      <c r="C32" s="17" t="inlineStr">
        <is>
          <t>March</t>
        </is>
      </c>
      <c r="D32" s="15" t="inlineStr">
        <is>
          <t>Q1</t>
        </is>
      </c>
      <c r="E32" s="15" t="n">
        <v>2024</v>
      </c>
      <c r="F32" s="17" t="inlineStr">
        <is>
          <t>North America</t>
        </is>
      </c>
      <c r="G32" s="17" t="inlineStr">
        <is>
          <t>United States</t>
        </is>
      </c>
      <c r="H32" s="17" t="inlineStr">
        <is>
          <t>Enterprise</t>
        </is>
      </c>
      <c r="I32" s="17" t="inlineStr">
        <is>
          <t>Hardware &amp; Infrastructure</t>
        </is>
      </c>
      <c r="J32" s="11" t="inlineStr">
        <is>
          <t>Edge Gateway Hub</t>
        </is>
      </c>
      <c r="K32" s="17" t="inlineStr">
        <is>
          <t>David Kim</t>
        </is>
      </c>
      <c r="L32" s="18" t="n">
        <v>12</v>
      </c>
      <c r="M32" s="19" t="n">
        <v>996.1</v>
      </c>
      <c r="N32" s="19" t="n">
        <v>11953.2</v>
      </c>
      <c r="O32" s="19" t="n">
        <v>6837.01</v>
      </c>
      <c r="P32" s="19" t="n">
        <v>5116.19</v>
      </c>
      <c r="Q32" s="19" t="n">
        <v>998.37</v>
      </c>
      <c r="R32" s="19" t="n">
        <v>10714.87</v>
      </c>
      <c r="S32" s="19" t="n">
        <v>11953.2</v>
      </c>
      <c r="T32" s="20" t="n">
        <v>0.1156</v>
      </c>
      <c r="U32" s="19" t="n">
        <v>13391.26</v>
      </c>
      <c r="V32" s="20" t="n">
        <v>0.8925999999999999</v>
      </c>
      <c r="W32" s="15" t="inlineStr">
        <is>
          <t>Spring</t>
        </is>
      </c>
    </row>
    <row r="33" ht="20" customHeight="1">
      <c r="A33" s="21" t="inlineStr">
        <is>
          <t>ORD-2024-1032</t>
        </is>
      </c>
      <c r="B33" s="22" t="n">
        <v>45375</v>
      </c>
      <c r="C33" s="23" t="inlineStr">
        <is>
          <t>March</t>
        </is>
      </c>
      <c r="D33" s="21" t="inlineStr">
        <is>
          <t>Q1</t>
        </is>
      </c>
      <c r="E33" s="21" t="n">
        <v>2024</v>
      </c>
      <c r="F33" s="23" t="inlineStr">
        <is>
          <t>North America</t>
        </is>
      </c>
      <c r="G33" s="23" t="inlineStr">
        <is>
          <t>Canada</t>
        </is>
      </c>
      <c r="H33" s="23" t="inlineStr">
        <is>
          <t>SMB</t>
        </is>
      </c>
      <c r="I33" s="23" t="inlineStr">
        <is>
          <t>Cloud Software</t>
        </is>
      </c>
      <c r="J33" s="8" t="inlineStr">
        <is>
          <t>CRM Pro Core</t>
        </is>
      </c>
      <c r="K33" s="23" t="inlineStr">
        <is>
          <t>Akiro Tanaka</t>
        </is>
      </c>
      <c r="L33" s="24" t="n">
        <v>36</v>
      </c>
      <c r="M33" s="25" t="n">
        <v>1481.51</v>
      </c>
      <c r="N33" s="25" t="n">
        <v>53334.36</v>
      </c>
      <c r="O33" s="25" t="n">
        <v>8099.44</v>
      </c>
      <c r="P33" s="25" t="n">
        <v>45234.92</v>
      </c>
      <c r="Q33" s="25" t="n">
        <v>6246.77</v>
      </c>
      <c r="R33" s="25" t="n">
        <v>55307.72</v>
      </c>
      <c r="S33" s="25" t="n">
        <v>53334.36</v>
      </c>
      <c r="T33" s="26" t="n">
        <v>-0.0357</v>
      </c>
      <c r="U33" s="25" t="n">
        <v>56103.01</v>
      </c>
      <c r="V33" s="26" t="n">
        <v>0.9507</v>
      </c>
      <c r="W33" s="21" t="inlineStr">
        <is>
          <t>Spring</t>
        </is>
      </c>
    </row>
    <row r="34" ht="20" customHeight="1">
      <c r="A34" s="15" t="inlineStr">
        <is>
          <t>ORD-2024-1033</t>
        </is>
      </c>
      <c r="B34" s="16" t="n">
        <v>45378</v>
      </c>
      <c r="C34" s="17" t="inlineStr">
        <is>
          <t>March</t>
        </is>
      </c>
      <c r="D34" s="15" t="inlineStr">
        <is>
          <t>Q1</t>
        </is>
      </c>
      <c r="E34" s="15" t="n">
        <v>2024</v>
      </c>
      <c r="F34" s="17" t="inlineStr">
        <is>
          <t>Latin America</t>
        </is>
      </c>
      <c r="G34" s="17" t="inlineStr">
        <is>
          <t>Brazil</t>
        </is>
      </c>
      <c r="H34" s="17" t="inlineStr">
        <is>
          <t>Mid-Market</t>
        </is>
      </c>
      <c r="I34" s="17" t="inlineStr">
        <is>
          <t>Professional Services</t>
        </is>
      </c>
      <c r="J34" s="11" t="inlineStr">
        <is>
          <t>Implementation Blueprint</t>
        </is>
      </c>
      <c r="K34" s="17" t="inlineStr">
        <is>
          <t>Eleanor Vance</t>
        </is>
      </c>
      <c r="L34" s="18" t="n">
        <v>2</v>
      </c>
      <c r="M34" s="19" t="n">
        <v>5124.79</v>
      </c>
      <c r="N34" s="19" t="n">
        <v>10249.58</v>
      </c>
      <c r="O34" s="19" t="n">
        <v>4116.14</v>
      </c>
      <c r="P34" s="19" t="n">
        <v>6133.44</v>
      </c>
      <c r="Q34" s="19" t="n">
        <v>1047.63</v>
      </c>
      <c r="R34" s="19" t="n">
        <v>10170.36</v>
      </c>
      <c r="S34" s="19" t="n">
        <v>10249.58</v>
      </c>
      <c r="T34" s="20" t="n">
        <v>0.0078</v>
      </c>
      <c r="U34" s="19" t="n">
        <v>9086.559999999999</v>
      </c>
      <c r="V34" s="20" t="n">
        <v>1.128</v>
      </c>
      <c r="W34" s="15" t="inlineStr">
        <is>
          <t>Spring</t>
        </is>
      </c>
    </row>
    <row r="35" ht="20" customHeight="1">
      <c r="A35" s="21" t="inlineStr">
        <is>
          <t>ORD-2024-1034</t>
        </is>
      </c>
      <c r="B35" s="22" t="n">
        <v>45381</v>
      </c>
      <c r="C35" s="23" t="inlineStr">
        <is>
          <t>March</t>
        </is>
      </c>
      <c r="D35" s="21" t="inlineStr">
        <is>
          <t>Q1</t>
        </is>
      </c>
      <c r="E35" s="21" t="n">
        <v>2024</v>
      </c>
      <c r="F35" s="23" t="inlineStr">
        <is>
          <t>Europe</t>
        </is>
      </c>
      <c r="G35" s="23" t="inlineStr">
        <is>
          <t>France</t>
        </is>
      </c>
      <c r="H35" s="23" t="inlineStr">
        <is>
          <t>Public Sector</t>
        </is>
      </c>
      <c r="I35" s="23" t="inlineStr">
        <is>
          <t>Cloud Software</t>
        </is>
      </c>
      <c r="J35" s="8" t="inlineStr">
        <is>
          <t>SaaS Core License</t>
        </is>
      </c>
      <c r="K35" s="23" t="inlineStr">
        <is>
          <t>Chloe Bennett</t>
        </is>
      </c>
      <c r="L35" s="24" t="n">
        <v>60</v>
      </c>
      <c r="M35" s="25" t="n">
        <v>1187.16</v>
      </c>
      <c r="N35" s="25" t="n">
        <v>71229.60000000001</v>
      </c>
      <c r="O35" s="25" t="n">
        <v>10618.99</v>
      </c>
      <c r="P35" s="25" t="n">
        <v>60610.61</v>
      </c>
      <c r="Q35" s="25" t="n">
        <v>7319.3</v>
      </c>
      <c r="R35" s="25" t="n">
        <v>67904.25</v>
      </c>
      <c r="S35" s="25" t="n">
        <v>71229.60000000001</v>
      </c>
      <c r="T35" s="26" t="n">
        <v>0.049</v>
      </c>
      <c r="U35" s="25" t="n">
        <v>71749.87</v>
      </c>
      <c r="V35" s="26" t="n">
        <v>0.9927</v>
      </c>
      <c r="W35" s="21" t="inlineStr">
        <is>
          <t>Spring</t>
        </is>
      </c>
    </row>
    <row r="36" ht="20" customHeight="1">
      <c r="A36" s="15" t="inlineStr">
        <is>
          <t>ORD-2024-1035</t>
        </is>
      </c>
      <c r="B36" s="16" t="n">
        <v>45383</v>
      </c>
      <c r="C36" s="17" t="inlineStr">
        <is>
          <t>April</t>
        </is>
      </c>
      <c r="D36" s="15" t="inlineStr">
        <is>
          <t>Q2</t>
        </is>
      </c>
      <c r="E36" s="15" t="n">
        <v>2024</v>
      </c>
      <c r="F36" s="17" t="inlineStr">
        <is>
          <t>Europe</t>
        </is>
      </c>
      <c r="G36" s="17" t="inlineStr">
        <is>
          <t>United Kingdom</t>
        </is>
      </c>
      <c r="H36" s="17" t="inlineStr">
        <is>
          <t>Mid-Market</t>
        </is>
      </c>
      <c r="I36" s="17" t="inlineStr">
        <is>
          <t>Hardware &amp; Infrastructure</t>
        </is>
      </c>
      <c r="J36" s="11" t="inlineStr">
        <is>
          <t>Quantum Workstation</t>
        </is>
      </c>
      <c r="K36" s="17" t="inlineStr">
        <is>
          <t>Chloe Bennett</t>
        </is>
      </c>
      <c r="L36" s="18" t="n">
        <v>16</v>
      </c>
      <c r="M36" s="19" t="n">
        <v>4648.12</v>
      </c>
      <c r="N36" s="19" t="n">
        <v>74369.92</v>
      </c>
      <c r="O36" s="19" t="n">
        <v>41220.4</v>
      </c>
      <c r="P36" s="19" t="n">
        <v>33149.52</v>
      </c>
      <c r="Q36" s="19" t="n">
        <v>7324.47</v>
      </c>
      <c r="R36" s="19" t="n">
        <v>71057.64</v>
      </c>
      <c r="S36" s="19" t="n">
        <v>74369.92</v>
      </c>
      <c r="T36" s="20" t="n">
        <v>0.0466</v>
      </c>
      <c r="U36" s="19" t="n">
        <v>77263.63</v>
      </c>
      <c r="V36" s="20" t="n">
        <v>0.9625</v>
      </c>
      <c r="W36" s="15" t="inlineStr">
        <is>
          <t>Spring</t>
        </is>
      </c>
    </row>
    <row r="37" ht="20" customHeight="1">
      <c r="A37" s="21" t="inlineStr">
        <is>
          <t>ORD-2024-1036</t>
        </is>
      </c>
      <c r="B37" s="22" t="n">
        <v>45386</v>
      </c>
      <c r="C37" s="23" t="inlineStr">
        <is>
          <t>April</t>
        </is>
      </c>
      <c r="D37" s="21" t="inlineStr">
        <is>
          <t>Q2</t>
        </is>
      </c>
      <c r="E37" s="21" t="n">
        <v>2024</v>
      </c>
      <c r="F37" s="23" t="inlineStr">
        <is>
          <t>North America</t>
        </is>
      </c>
      <c r="G37" s="23" t="inlineStr">
        <is>
          <t>Canada</t>
        </is>
      </c>
      <c r="H37" s="23" t="inlineStr">
        <is>
          <t>SMB</t>
        </is>
      </c>
      <c r="I37" s="23" t="inlineStr">
        <is>
          <t>Hardware &amp; Infrastructure</t>
        </is>
      </c>
      <c r="J37" s="8" t="inlineStr">
        <is>
          <t>Quantum Workstation</t>
        </is>
      </c>
      <c r="K37" s="23" t="inlineStr">
        <is>
          <t>Eleanor Vance</t>
        </is>
      </c>
      <c r="L37" s="24" t="n">
        <v>8</v>
      </c>
      <c r="M37" s="25" t="n">
        <v>4531.09</v>
      </c>
      <c r="N37" s="25" t="n">
        <v>36248.72</v>
      </c>
      <c r="O37" s="25" t="n">
        <v>19648.44</v>
      </c>
      <c r="P37" s="25" t="n">
        <v>16600.28</v>
      </c>
      <c r="Q37" s="25" t="n">
        <v>3616.21</v>
      </c>
      <c r="R37" s="25" t="n">
        <v>35300.38</v>
      </c>
      <c r="S37" s="25" t="n">
        <v>36248.72</v>
      </c>
      <c r="T37" s="26" t="n">
        <v>0.0269</v>
      </c>
      <c r="U37" s="25" t="n">
        <v>36611.66</v>
      </c>
      <c r="V37" s="26" t="n">
        <v>0.9901</v>
      </c>
      <c r="W37" s="21" t="inlineStr">
        <is>
          <t>Spring</t>
        </is>
      </c>
    </row>
    <row r="38" ht="20" customHeight="1">
      <c r="A38" s="15" t="inlineStr">
        <is>
          <t>ORD-2024-1037</t>
        </is>
      </c>
      <c r="B38" s="16" t="n">
        <v>45389</v>
      </c>
      <c r="C38" s="17" t="inlineStr">
        <is>
          <t>April</t>
        </is>
      </c>
      <c r="D38" s="15" t="inlineStr">
        <is>
          <t>Q2</t>
        </is>
      </c>
      <c r="E38" s="15" t="n">
        <v>2024</v>
      </c>
      <c r="F38" s="17" t="inlineStr">
        <is>
          <t>Latin America</t>
        </is>
      </c>
      <c r="G38" s="17" t="inlineStr">
        <is>
          <t>Mexico</t>
        </is>
      </c>
      <c r="H38" s="17" t="inlineStr">
        <is>
          <t>SMB</t>
        </is>
      </c>
      <c r="I38" s="17" t="inlineStr">
        <is>
          <t>Cybersecurity</t>
        </is>
      </c>
      <c r="J38" s="11" t="inlineStr">
        <is>
          <t>Threat Intelligence API</t>
        </is>
      </c>
      <c r="K38" s="17" t="inlineStr">
        <is>
          <t>Sofia Rodriguez</t>
        </is>
      </c>
      <c r="L38" s="18" t="n">
        <v>15</v>
      </c>
      <c r="M38" s="19" t="n">
        <v>2677.78</v>
      </c>
      <c r="N38" s="19" t="n">
        <v>40166.7</v>
      </c>
      <c r="O38" s="19" t="n">
        <v>7946.16</v>
      </c>
      <c r="P38" s="19" t="n">
        <v>32220.54</v>
      </c>
      <c r="Q38" s="19" t="n">
        <v>4869.35</v>
      </c>
      <c r="R38" s="19" t="n">
        <v>42636.05</v>
      </c>
      <c r="S38" s="19" t="n">
        <v>40166.7</v>
      </c>
      <c r="T38" s="20" t="n">
        <v>-0.0579</v>
      </c>
      <c r="U38" s="19" t="n">
        <v>36314.45</v>
      </c>
      <c r="V38" s="20" t="n">
        <v>1.1061</v>
      </c>
      <c r="W38" s="15" t="inlineStr">
        <is>
          <t>Spring</t>
        </is>
      </c>
    </row>
    <row r="39" ht="20" customHeight="1">
      <c r="A39" s="21" t="inlineStr">
        <is>
          <t>ORD-2024-1038</t>
        </is>
      </c>
      <c r="B39" s="22" t="n">
        <v>45391</v>
      </c>
      <c r="C39" s="23" t="inlineStr">
        <is>
          <t>April</t>
        </is>
      </c>
      <c r="D39" s="21" t="inlineStr">
        <is>
          <t>Q2</t>
        </is>
      </c>
      <c r="E39" s="21" t="n">
        <v>2024</v>
      </c>
      <c r="F39" s="23" t="inlineStr">
        <is>
          <t>North America</t>
        </is>
      </c>
      <c r="G39" s="23" t="inlineStr">
        <is>
          <t>Canada</t>
        </is>
      </c>
      <c r="H39" s="23" t="inlineStr">
        <is>
          <t>Enterprise</t>
        </is>
      </c>
      <c r="I39" s="23" t="inlineStr">
        <is>
          <t>Cloud Software</t>
        </is>
      </c>
      <c r="J39" s="8" t="inlineStr">
        <is>
          <t>Advanced Analytics Suite</t>
        </is>
      </c>
      <c r="K39" s="23" t="inlineStr">
        <is>
          <t>Akiro Tanaka</t>
        </is>
      </c>
      <c r="L39" s="24" t="n">
        <v>12</v>
      </c>
      <c r="M39" s="25" t="n">
        <v>2384.21</v>
      </c>
      <c r="N39" s="25" t="n">
        <v>28610.52</v>
      </c>
      <c r="O39" s="25" t="n">
        <v>4305.25</v>
      </c>
      <c r="P39" s="25" t="n">
        <v>24305.27</v>
      </c>
      <c r="Q39" s="25" t="n">
        <v>1952.34</v>
      </c>
      <c r="R39" s="25" t="n">
        <v>29454.12</v>
      </c>
      <c r="S39" s="25" t="n">
        <v>28610.52</v>
      </c>
      <c r="T39" s="26" t="n">
        <v>-0.0286</v>
      </c>
      <c r="U39" s="25" t="n">
        <v>28785.02</v>
      </c>
      <c r="V39" s="26" t="n">
        <v>0.9939</v>
      </c>
      <c r="W39" s="21" t="inlineStr">
        <is>
          <t>Spring</t>
        </is>
      </c>
    </row>
    <row r="40" ht="20" customHeight="1">
      <c r="A40" s="15" t="inlineStr">
        <is>
          <t>ORD-2024-1039</t>
        </is>
      </c>
      <c r="B40" s="16" t="n">
        <v>45394</v>
      </c>
      <c r="C40" s="17" t="inlineStr">
        <is>
          <t>April</t>
        </is>
      </c>
      <c r="D40" s="15" t="inlineStr">
        <is>
          <t>Q2</t>
        </is>
      </c>
      <c r="E40" s="15" t="n">
        <v>2024</v>
      </c>
      <c r="F40" s="17" t="inlineStr">
        <is>
          <t>North America</t>
        </is>
      </c>
      <c r="G40" s="17" t="inlineStr">
        <is>
          <t>United States</t>
        </is>
      </c>
      <c r="H40" s="17" t="inlineStr">
        <is>
          <t>Mid-Market</t>
        </is>
      </c>
      <c r="I40" s="17" t="inlineStr">
        <is>
          <t>Cloud Software</t>
        </is>
      </c>
      <c r="J40" s="11" t="inlineStr">
        <is>
          <t>SaaS Core License</t>
        </is>
      </c>
      <c r="K40" s="17" t="inlineStr">
        <is>
          <t>Akiro Tanaka</t>
        </is>
      </c>
      <c r="L40" s="18" t="n">
        <v>24</v>
      </c>
      <c r="M40" s="19" t="n">
        <v>1156.06</v>
      </c>
      <c r="N40" s="19" t="n">
        <v>27745.44</v>
      </c>
      <c r="O40" s="19" t="n">
        <v>3981.45</v>
      </c>
      <c r="P40" s="19" t="n">
        <v>23763.99</v>
      </c>
      <c r="Q40" s="19" t="n">
        <v>2406.89</v>
      </c>
      <c r="R40" s="19" t="n">
        <v>27409.84</v>
      </c>
      <c r="S40" s="19" t="n">
        <v>27745.44</v>
      </c>
      <c r="T40" s="20" t="n">
        <v>0.0122</v>
      </c>
      <c r="U40" s="19" t="n">
        <v>27647.62</v>
      </c>
      <c r="V40" s="20" t="n">
        <v>1.0035</v>
      </c>
      <c r="W40" s="15" t="inlineStr">
        <is>
          <t>Spring</t>
        </is>
      </c>
    </row>
    <row r="41" ht="20" customHeight="1">
      <c r="A41" s="21" t="inlineStr">
        <is>
          <t>ORD-2024-1040</t>
        </is>
      </c>
      <c r="B41" s="22" t="n">
        <v>45397</v>
      </c>
      <c r="C41" s="23" t="inlineStr">
        <is>
          <t>April</t>
        </is>
      </c>
      <c r="D41" s="21" t="inlineStr">
        <is>
          <t>Q2</t>
        </is>
      </c>
      <c r="E41" s="21" t="n">
        <v>2024</v>
      </c>
      <c r="F41" s="23" t="inlineStr">
        <is>
          <t>Asia-Pacific</t>
        </is>
      </c>
      <c r="G41" s="23" t="inlineStr">
        <is>
          <t>India</t>
        </is>
      </c>
      <c r="H41" s="23" t="inlineStr">
        <is>
          <t>SMB</t>
        </is>
      </c>
      <c r="I41" s="23" t="inlineStr">
        <is>
          <t>Professional Services</t>
        </is>
      </c>
      <c r="J41" s="8" t="inlineStr">
        <is>
          <t>Implementation Blueprint</t>
        </is>
      </c>
      <c r="K41" s="23" t="inlineStr">
        <is>
          <t>David Kim</t>
        </is>
      </c>
      <c r="L41" s="24" t="n">
        <v>8</v>
      </c>
      <c r="M41" s="25" t="n">
        <v>4756.84</v>
      </c>
      <c r="N41" s="25" t="n">
        <v>38054.72</v>
      </c>
      <c r="O41" s="25" t="n">
        <v>14809.41</v>
      </c>
      <c r="P41" s="25" t="n">
        <v>23245.31</v>
      </c>
      <c r="Q41" s="25" t="n">
        <v>2513.14</v>
      </c>
      <c r="R41" s="25" t="n">
        <v>33213.4</v>
      </c>
      <c r="S41" s="25" t="n">
        <v>38054.72</v>
      </c>
      <c r="T41" s="26" t="n">
        <v>0.1458</v>
      </c>
      <c r="U41" s="25" t="n">
        <v>45609.89</v>
      </c>
      <c r="V41" s="26" t="n">
        <v>0.8344</v>
      </c>
      <c r="W41" s="21" t="inlineStr">
        <is>
          <t>Spring</t>
        </is>
      </c>
    </row>
    <row r="42" ht="20" customHeight="1">
      <c r="A42" s="15" t="inlineStr">
        <is>
          <t>ORD-2025-1041</t>
        </is>
      </c>
      <c r="B42" s="16" t="n">
        <v>45400</v>
      </c>
      <c r="C42" s="17" t="inlineStr">
        <is>
          <t>April</t>
        </is>
      </c>
      <c r="D42" s="15" t="inlineStr">
        <is>
          <t>Q2</t>
        </is>
      </c>
      <c r="E42" s="15" t="n">
        <v>2024</v>
      </c>
      <c r="F42" s="17" t="inlineStr">
        <is>
          <t>Asia-Pacific</t>
        </is>
      </c>
      <c r="G42" s="17" t="inlineStr">
        <is>
          <t>India</t>
        </is>
      </c>
      <c r="H42" s="17" t="inlineStr">
        <is>
          <t>SMB</t>
        </is>
      </c>
      <c r="I42" s="17" t="inlineStr">
        <is>
          <t>Cybersecurity</t>
        </is>
      </c>
      <c r="J42" s="11" t="inlineStr">
        <is>
          <t>Threat Intelligence API</t>
        </is>
      </c>
      <c r="K42" s="17" t="inlineStr">
        <is>
          <t>Akiro Tanaka</t>
        </is>
      </c>
      <c r="L42" s="18" t="n">
        <v>15</v>
      </c>
      <c r="M42" s="19" t="n">
        <v>2681.1</v>
      </c>
      <c r="N42" s="19" t="n">
        <v>40216.5</v>
      </c>
      <c r="O42" s="19" t="n">
        <v>8077.76</v>
      </c>
      <c r="P42" s="19" t="n">
        <v>32138.74</v>
      </c>
      <c r="Q42" s="19" t="n">
        <v>4836.42</v>
      </c>
      <c r="R42" s="19" t="n">
        <v>35122.26</v>
      </c>
      <c r="S42" s="19" t="n">
        <v>40216.5</v>
      </c>
      <c r="T42" s="20" t="n">
        <v>0.145</v>
      </c>
      <c r="U42" s="19" t="n">
        <v>46609.9</v>
      </c>
      <c r="V42" s="20" t="n">
        <v>0.8628</v>
      </c>
      <c r="W42" s="15" t="inlineStr">
        <is>
          <t>Spring</t>
        </is>
      </c>
    </row>
    <row r="43" ht="20" customHeight="1">
      <c r="A43" s="21" t="inlineStr">
        <is>
          <t>ORD-2025-1042</t>
        </is>
      </c>
      <c r="B43" s="22" t="n">
        <v>45402</v>
      </c>
      <c r="C43" s="23" t="inlineStr">
        <is>
          <t>April</t>
        </is>
      </c>
      <c r="D43" s="21" t="inlineStr">
        <is>
          <t>Q2</t>
        </is>
      </c>
      <c r="E43" s="21" t="n">
        <v>2024</v>
      </c>
      <c r="F43" s="23" t="inlineStr">
        <is>
          <t>Asia-Pacific</t>
        </is>
      </c>
      <c r="G43" s="23" t="inlineStr">
        <is>
          <t>Japan</t>
        </is>
      </c>
      <c r="H43" s="23" t="inlineStr">
        <is>
          <t>Mid-Market</t>
        </is>
      </c>
      <c r="I43" s="23" t="inlineStr">
        <is>
          <t>Professional Services</t>
        </is>
      </c>
      <c r="J43" s="8" t="inlineStr">
        <is>
          <t>Security Audit Service</t>
        </is>
      </c>
      <c r="K43" s="23" t="inlineStr">
        <is>
          <t>Chloe Bennett</t>
        </is>
      </c>
      <c r="L43" s="24" t="n">
        <v>2</v>
      </c>
      <c r="M43" s="25" t="n">
        <v>6115.03</v>
      </c>
      <c r="N43" s="25" t="n">
        <v>12230.06</v>
      </c>
      <c r="O43" s="25" t="n">
        <v>4858.53</v>
      </c>
      <c r="P43" s="25" t="n">
        <v>7371.53</v>
      </c>
      <c r="Q43" s="25" t="n">
        <v>1000.23</v>
      </c>
      <c r="R43" s="25" t="n">
        <v>10404.13</v>
      </c>
      <c r="S43" s="25" t="n">
        <v>12230.06</v>
      </c>
      <c r="T43" s="26" t="n">
        <v>0.1755</v>
      </c>
      <c r="U43" s="25" t="n">
        <v>12050.92</v>
      </c>
      <c r="V43" s="26" t="n">
        <v>1.0149</v>
      </c>
      <c r="W43" s="21" t="inlineStr">
        <is>
          <t>Spring</t>
        </is>
      </c>
    </row>
    <row r="44" ht="20" customHeight="1">
      <c r="A44" s="15" t="inlineStr">
        <is>
          <t>ORD-2025-1043</t>
        </is>
      </c>
      <c r="B44" s="16" t="n">
        <v>45405</v>
      </c>
      <c r="C44" s="17" t="inlineStr">
        <is>
          <t>April</t>
        </is>
      </c>
      <c r="D44" s="15" t="inlineStr">
        <is>
          <t>Q2</t>
        </is>
      </c>
      <c r="E44" s="15" t="n">
        <v>2024</v>
      </c>
      <c r="F44" s="17" t="inlineStr">
        <is>
          <t>Europe</t>
        </is>
      </c>
      <c r="G44" s="17" t="inlineStr">
        <is>
          <t>United Kingdom</t>
        </is>
      </c>
      <c r="H44" s="17" t="inlineStr">
        <is>
          <t>Enterprise</t>
        </is>
      </c>
      <c r="I44" s="17" t="inlineStr">
        <is>
          <t>Cloud Software</t>
        </is>
      </c>
      <c r="J44" s="11" t="inlineStr">
        <is>
          <t>Cloud Storage Enterprise</t>
        </is>
      </c>
      <c r="K44" s="17" t="inlineStr">
        <is>
          <t>Sarah Jenkins</t>
        </is>
      </c>
      <c r="L44" s="18" t="n">
        <v>60</v>
      </c>
      <c r="M44" s="19" t="n">
        <v>802.75</v>
      </c>
      <c r="N44" s="19" t="n">
        <v>48165</v>
      </c>
      <c r="O44" s="19" t="n">
        <v>7103.96</v>
      </c>
      <c r="P44" s="19" t="n">
        <v>41061.04</v>
      </c>
      <c r="Q44" s="19" t="n">
        <v>6347.88</v>
      </c>
      <c r="R44" s="19" t="n">
        <v>54923.02</v>
      </c>
      <c r="S44" s="19" t="n">
        <v>48165</v>
      </c>
      <c r="T44" s="20" t="n">
        <v>-0.123</v>
      </c>
      <c r="U44" s="19" t="n">
        <v>50533.51</v>
      </c>
      <c r="V44" s="20" t="n">
        <v>0.9530999999999999</v>
      </c>
      <c r="W44" s="15" t="inlineStr">
        <is>
          <t>Spring</t>
        </is>
      </c>
    </row>
    <row r="45" ht="20" customHeight="1">
      <c r="A45" s="21" t="inlineStr">
        <is>
          <t>ORD-2025-1044</t>
        </is>
      </c>
      <c r="B45" s="22" t="n">
        <v>45408</v>
      </c>
      <c r="C45" s="23" t="inlineStr">
        <is>
          <t>April</t>
        </is>
      </c>
      <c r="D45" s="21" t="inlineStr">
        <is>
          <t>Q2</t>
        </is>
      </c>
      <c r="E45" s="21" t="n">
        <v>2024</v>
      </c>
      <c r="F45" s="23" t="inlineStr">
        <is>
          <t>Latin America</t>
        </is>
      </c>
      <c r="G45" s="23" t="inlineStr">
        <is>
          <t>Brazil</t>
        </is>
      </c>
      <c r="H45" s="23" t="inlineStr">
        <is>
          <t>SMB</t>
        </is>
      </c>
      <c r="I45" s="23" t="inlineStr">
        <is>
          <t>Cloud Software</t>
        </is>
      </c>
      <c r="J45" s="8" t="inlineStr">
        <is>
          <t>SaaS Core License</t>
        </is>
      </c>
      <c r="K45" s="23" t="inlineStr">
        <is>
          <t>Sofia Rodriguez</t>
        </is>
      </c>
      <c r="L45" s="24" t="n">
        <v>48</v>
      </c>
      <c r="M45" s="25" t="n">
        <v>1229.99</v>
      </c>
      <c r="N45" s="25" t="n">
        <v>59039.52</v>
      </c>
      <c r="O45" s="25" t="n">
        <v>9060.1</v>
      </c>
      <c r="P45" s="25" t="n">
        <v>49979.42</v>
      </c>
      <c r="Q45" s="25" t="n">
        <v>6029.49</v>
      </c>
      <c r="R45" s="25" t="n">
        <v>50276.65</v>
      </c>
      <c r="S45" s="25" t="n">
        <v>59039.52</v>
      </c>
      <c r="T45" s="26" t="n">
        <v>0.1743</v>
      </c>
      <c r="U45" s="25" t="n">
        <v>64893.21</v>
      </c>
      <c r="V45" s="26" t="n">
        <v>0.9098000000000001</v>
      </c>
      <c r="W45" s="21" t="inlineStr">
        <is>
          <t>Spring</t>
        </is>
      </c>
    </row>
    <row r="46" ht="20" customHeight="1">
      <c r="A46" s="15" t="inlineStr">
        <is>
          <t>ORD-2025-1045</t>
        </is>
      </c>
      <c r="B46" s="16" t="n">
        <v>45410</v>
      </c>
      <c r="C46" s="17" t="inlineStr">
        <is>
          <t>April</t>
        </is>
      </c>
      <c r="D46" s="15" t="inlineStr">
        <is>
          <t>Q2</t>
        </is>
      </c>
      <c r="E46" s="15" t="n">
        <v>2024</v>
      </c>
      <c r="F46" s="17" t="inlineStr">
        <is>
          <t>Latin America</t>
        </is>
      </c>
      <c r="G46" s="17" t="inlineStr">
        <is>
          <t>Mexico</t>
        </is>
      </c>
      <c r="H46" s="17" t="inlineStr">
        <is>
          <t>SMB</t>
        </is>
      </c>
      <c r="I46" s="17" t="inlineStr">
        <is>
          <t>Cloud Software</t>
        </is>
      </c>
      <c r="J46" s="11" t="inlineStr">
        <is>
          <t>Cloud Storage Enterprise</t>
        </is>
      </c>
      <c r="K46" s="17" t="inlineStr">
        <is>
          <t>Akiro Tanaka</t>
        </is>
      </c>
      <c r="L46" s="18" t="n">
        <v>12</v>
      </c>
      <c r="M46" s="19" t="n">
        <v>833.05</v>
      </c>
      <c r="N46" s="19" t="n">
        <v>9996.6</v>
      </c>
      <c r="O46" s="19" t="n">
        <v>1528.54</v>
      </c>
      <c r="P46" s="19" t="n">
        <v>8468.059999999999</v>
      </c>
      <c r="Q46" s="19" t="n">
        <v>1240.18</v>
      </c>
      <c r="R46" s="19" t="n">
        <v>8806.290000000001</v>
      </c>
      <c r="S46" s="19" t="n">
        <v>9996.6</v>
      </c>
      <c r="T46" s="20" t="n">
        <v>0.1352</v>
      </c>
      <c r="U46" s="19" t="n">
        <v>8136.69</v>
      </c>
      <c r="V46" s="20" t="n">
        <v>1.2286</v>
      </c>
      <c r="W46" s="15" t="inlineStr">
        <is>
          <t>Spring</t>
        </is>
      </c>
    </row>
    <row r="47" ht="20" customHeight="1">
      <c r="A47" s="21" t="inlineStr">
        <is>
          <t>ORD-2025-1046</t>
        </is>
      </c>
      <c r="B47" s="22" t="n">
        <v>45413</v>
      </c>
      <c r="C47" s="23" t="inlineStr">
        <is>
          <t>May</t>
        </is>
      </c>
      <c r="D47" s="21" t="inlineStr">
        <is>
          <t>Q2</t>
        </is>
      </c>
      <c r="E47" s="21" t="n">
        <v>2024</v>
      </c>
      <c r="F47" s="23" t="inlineStr">
        <is>
          <t>Latin America</t>
        </is>
      </c>
      <c r="G47" s="23" t="inlineStr">
        <is>
          <t>Mexico</t>
        </is>
      </c>
      <c r="H47" s="23" t="inlineStr">
        <is>
          <t>Mid-Market</t>
        </is>
      </c>
      <c r="I47" s="23" t="inlineStr">
        <is>
          <t>Hardware &amp; Infrastructure</t>
        </is>
      </c>
      <c r="J47" s="8" t="inlineStr">
        <is>
          <t>Edge Gateway Hub</t>
        </is>
      </c>
      <c r="K47" s="23" t="inlineStr">
        <is>
          <t>David Kim</t>
        </is>
      </c>
      <c r="L47" s="24" t="n">
        <v>16</v>
      </c>
      <c r="M47" s="25" t="n">
        <v>958.09</v>
      </c>
      <c r="N47" s="25" t="n">
        <v>15329.44</v>
      </c>
      <c r="O47" s="25" t="n">
        <v>8150.21</v>
      </c>
      <c r="P47" s="25" t="n">
        <v>7179.23</v>
      </c>
      <c r="Q47" s="25" t="n">
        <v>2120.28</v>
      </c>
      <c r="R47" s="25" t="n">
        <v>14476.8</v>
      </c>
      <c r="S47" s="25" t="n">
        <v>15329.44</v>
      </c>
      <c r="T47" s="26" t="n">
        <v>0.0589</v>
      </c>
      <c r="U47" s="25" t="n">
        <v>17751.01</v>
      </c>
      <c r="V47" s="26" t="n">
        <v>0.8636</v>
      </c>
      <c r="W47" s="21" t="inlineStr">
        <is>
          <t>Spring</t>
        </is>
      </c>
    </row>
    <row r="48" ht="20" customHeight="1">
      <c r="A48" s="15" t="inlineStr">
        <is>
          <t>ORD-2025-1047</t>
        </is>
      </c>
      <c r="B48" s="16" t="n">
        <v>45416</v>
      </c>
      <c r="C48" s="17" t="inlineStr">
        <is>
          <t>May</t>
        </is>
      </c>
      <c r="D48" s="15" t="inlineStr">
        <is>
          <t>Q2</t>
        </is>
      </c>
      <c r="E48" s="15" t="n">
        <v>2024</v>
      </c>
      <c r="F48" s="17" t="inlineStr">
        <is>
          <t>Latin America</t>
        </is>
      </c>
      <c r="G48" s="17" t="inlineStr">
        <is>
          <t>Mexico</t>
        </is>
      </c>
      <c r="H48" s="17" t="inlineStr">
        <is>
          <t>Enterprise</t>
        </is>
      </c>
      <c r="I48" s="17" t="inlineStr">
        <is>
          <t>Cloud Software</t>
        </is>
      </c>
      <c r="J48" s="11" t="inlineStr">
        <is>
          <t>CRM Pro Core</t>
        </is>
      </c>
      <c r="K48" s="17" t="inlineStr">
        <is>
          <t>Chloe Bennett</t>
        </is>
      </c>
      <c r="L48" s="18" t="n">
        <v>24</v>
      </c>
      <c r="M48" s="19" t="n">
        <v>1533.92</v>
      </c>
      <c r="N48" s="19" t="n">
        <v>36814.08</v>
      </c>
      <c r="O48" s="19" t="n">
        <v>5731.2</v>
      </c>
      <c r="P48" s="19" t="n">
        <v>31082.88</v>
      </c>
      <c r="Q48" s="19" t="n">
        <v>4682.13</v>
      </c>
      <c r="R48" s="19" t="n">
        <v>40209.41</v>
      </c>
      <c r="S48" s="19" t="n">
        <v>36814.08</v>
      </c>
      <c r="T48" s="20" t="n">
        <v>-0.0844</v>
      </c>
      <c r="U48" s="19" t="n">
        <v>42117.17</v>
      </c>
      <c r="V48" s="20" t="n">
        <v>0.8741</v>
      </c>
      <c r="W48" s="15" t="inlineStr">
        <is>
          <t>Spring</t>
        </is>
      </c>
    </row>
    <row r="49" ht="20" customHeight="1">
      <c r="A49" s="21" t="inlineStr">
        <is>
          <t>ORD-2025-1048</t>
        </is>
      </c>
      <c r="B49" s="22" t="n">
        <v>45418</v>
      </c>
      <c r="C49" s="23" t="inlineStr">
        <is>
          <t>May</t>
        </is>
      </c>
      <c r="D49" s="21" t="inlineStr">
        <is>
          <t>Q2</t>
        </is>
      </c>
      <c r="E49" s="21" t="n">
        <v>2024</v>
      </c>
      <c r="F49" s="23" t="inlineStr">
        <is>
          <t>Asia-Pacific</t>
        </is>
      </c>
      <c r="G49" s="23" t="inlineStr">
        <is>
          <t>India</t>
        </is>
      </c>
      <c r="H49" s="23" t="inlineStr">
        <is>
          <t>Public Sector</t>
        </is>
      </c>
      <c r="I49" s="23" t="inlineStr">
        <is>
          <t>Cybersecurity</t>
        </is>
      </c>
      <c r="J49" s="8" t="inlineStr">
        <is>
          <t>Endpoint Detection X</t>
        </is>
      </c>
      <c r="K49" s="23" t="inlineStr">
        <is>
          <t>Sarah Jenkins</t>
        </is>
      </c>
      <c r="L49" s="24" t="n">
        <v>45</v>
      </c>
      <c r="M49" s="25" t="n">
        <v>1128.28</v>
      </c>
      <c r="N49" s="25" t="n">
        <v>50772.6</v>
      </c>
      <c r="O49" s="25" t="n">
        <v>10149.87</v>
      </c>
      <c r="P49" s="25" t="n">
        <v>40622.73</v>
      </c>
      <c r="Q49" s="25" t="n">
        <v>6567.92</v>
      </c>
      <c r="R49" s="25" t="n">
        <v>57811.19</v>
      </c>
      <c r="S49" s="25" t="n">
        <v>50772.6</v>
      </c>
      <c r="T49" s="26" t="n">
        <v>-0.1218</v>
      </c>
      <c r="U49" s="25" t="n">
        <v>49908.09</v>
      </c>
      <c r="V49" s="26" t="n">
        <v>1.0173</v>
      </c>
      <c r="W49" s="21" t="inlineStr">
        <is>
          <t>Spring</t>
        </is>
      </c>
    </row>
    <row r="50" ht="20" customHeight="1">
      <c r="A50" s="15" t="inlineStr">
        <is>
          <t>ORD-2025-1049</t>
        </is>
      </c>
      <c r="B50" s="16" t="n">
        <v>45421</v>
      </c>
      <c r="C50" s="17" t="inlineStr">
        <is>
          <t>May</t>
        </is>
      </c>
      <c r="D50" s="15" t="inlineStr">
        <is>
          <t>Q2</t>
        </is>
      </c>
      <c r="E50" s="15" t="n">
        <v>2024</v>
      </c>
      <c r="F50" s="17" t="inlineStr">
        <is>
          <t>Europe</t>
        </is>
      </c>
      <c r="G50" s="17" t="inlineStr">
        <is>
          <t>France</t>
        </is>
      </c>
      <c r="H50" s="17" t="inlineStr">
        <is>
          <t>Mid-Market</t>
        </is>
      </c>
      <c r="I50" s="17" t="inlineStr">
        <is>
          <t>Cloud Software</t>
        </is>
      </c>
      <c r="J50" s="11" t="inlineStr">
        <is>
          <t>SaaS Core License</t>
        </is>
      </c>
      <c r="K50" s="17" t="inlineStr">
        <is>
          <t>Marcus Vance</t>
        </is>
      </c>
      <c r="L50" s="18" t="n">
        <v>12</v>
      </c>
      <c r="M50" s="19" t="n">
        <v>1185.34</v>
      </c>
      <c r="N50" s="19" t="n">
        <v>14224.08</v>
      </c>
      <c r="O50" s="19" t="n">
        <v>2185.13</v>
      </c>
      <c r="P50" s="19" t="n">
        <v>12038.95</v>
      </c>
      <c r="Q50" s="19" t="n">
        <v>1317.7</v>
      </c>
      <c r="R50" s="19" t="n">
        <v>15461.63</v>
      </c>
      <c r="S50" s="19" t="n">
        <v>14224.08</v>
      </c>
      <c r="T50" s="20" t="n">
        <v>-0.08</v>
      </c>
      <c r="U50" s="19" t="n">
        <v>13604.88</v>
      </c>
      <c r="V50" s="20" t="n">
        <v>1.0455</v>
      </c>
      <c r="W50" s="15" t="inlineStr">
        <is>
          <t>Spring</t>
        </is>
      </c>
    </row>
    <row r="51" ht="20" customHeight="1">
      <c r="A51" s="21" t="inlineStr">
        <is>
          <t>ORD-2025-1050</t>
        </is>
      </c>
      <c r="B51" s="22" t="n">
        <v>45424</v>
      </c>
      <c r="C51" s="23" t="inlineStr">
        <is>
          <t>May</t>
        </is>
      </c>
      <c r="D51" s="21" t="inlineStr">
        <is>
          <t>Q2</t>
        </is>
      </c>
      <c r="E51" s="21" t="n">
        <v>2024</v>
      </c>
      <c r="F51" s="23" t="inlineStr">
        <is>
          <t>Europe</t>
        </is>
      </c>
      <c r="G51" s="23" t="inlineStr">
        <is>
          <t>United Kingdom</t>
        </is>
      </c>
      <c r="H51" s="23" t="inlineStr">
        <is>
          <t>Mid-Market</t>
        </is>
      </c>
      <c r="I51" s="23" t="inlineStr">
        <is>
          <t>Professional Services</t>
        </is>
      </c>
      <c r="J51" s="8" t="inlineStr">
        <is>
          <t>Cloud Migration Consulting</t>
        </is>
      </c>
      <c r="K51" s="23" t="inlineStr">
        <is>
          <t>Marcus Vance</t>
        </is>
      </c>
      <c r="L51" s="24" t="n">
        <v>10</v>
      </c>
      <c r="M51" s="25" t="n">
        <v>7305.81</v>
      </c>
      <c r="N51" s="25" t="n">
        <v>73058.10000000001</v>
      </c>
      <c r="O51" s="25" t="n">
        <v>29437.01</v>
      </c>
      <c r="P51" s="25" t="n">
        <v>43621.09</v>
      </c>
      <c r="Q51" s="25" t="n">
        <v>7608.11</v>
      </c>
      <c r="R51" s="25" t="n">
        <v>77234.69</v>
      </c>
      <c r="S51" s="25" t="n">
        <v>73058.10000000001</v>
      </c>
      <c r="T51" s="26" t="n">
        <v>-0.0541</v>
      </c>
      <c r="U51" s="25" t="n">
        <v>66423.24000000001</v>
      </c>
      <c r="V51" s="26" t="n">
        <v>1.0999</v>
      </c>
      <c r="W51" s="21" t="inlineStr">
        <is>
          <t>Spring</t>
        </is>
      </c>
    </row>
    <row r="52" ht="20" customHeight="1">
      <c r="A52" s="15" t="inlineStr">
        <is>
          <t>ORD-2025-1051</t>
        </is>
      </c>
      <c r="B52" s="16" t="n">
        <v>45427</v>
      </c>
      <c r="C52" s="17" t="inlineStr">
        <is>
          <t>May</t>
        </is>
      </c>
      <c r="D52" s="15" t="inlineStr">
        <is>
          <t>Q2</t>
        </is>
      </c>
      <c r="E52" s="15" t="n">
        <v>2024</v>
      </c>
      <c r="F52" s="17" t="inlineStr">
        <is>
          <t>Asia-Pacific</t>
        </is>
      </c>
      <c r="G52" s="17" t="inlineStr">
        <is>
          <t>India</t>
        </is>
      </c>
      <c r="H52" s="17" t="inlineStr">
        <is>
          <t>SMB</t>
        </is>
      </c>
      <c r="I52" s="17" t="inlineStr">
        <is>
          <t>Hardware &amp; Infrastructure</t>
        </is>
      </c>
      <c r="J52" s="11" t="inlineStr">
        <is>
          <t>Edge Gateway Hub</t>
        </is>
      </c>
      <c r="K52" s="17" t="inlineStr">
        <is>
          <t>Sarah Jenkins</t>
        </is>
      </c>
      <c r="L52" s="18" t="n">
        <v>8</v>
      </c>
      <c r="M52" s="19" t="n">
        <v>921.98</v>
      </c>
      <c r="N52" s="19" t="n">
        <v>7375.84</v>
      </c>
      <c r="O52" s="19" t="n">
        <v>4258.61</v>
      </c>
      <c r="P52" s="19" t="n">
        <v>3117.23</v>
      </c>
      <c r="Q52" s="19" t="n">
        <v>592.36</v>
      </c>
      <c r="R52" s="19" t="n">
        <v>7422.97</v>
      </c>
      <c r="S52" s="19" t="n">
        <v>7375.84</v>
      </c>
      <c r="T52" s="20" t="n">
        <v>-0.0063</v>
      </c>
      <c r="U52" s="19" t="n">
        <v>7307.03</v>
      </c>
      <c r="V52" s="20" t="n">
        <v>1.0094</v>
      </c>
      <c r="W52" s="15" t="inlineStr">
        <is>
          <t>Spring</t>
        </is>
      </c>
    </row>
    <row r="53" ht="20" customHeight="1">
      <c r="A53" s="21" t="inlineStr">
        <is>
          <t>ORD-2025-1052</t>
        </is>
      </c>
      <c r="B53" s="22" t="n">
        <v>45429</v>
      </c>
      <c r="C53" s="23" t="inlineStr">
        <is>
          <t>May</t>
        </is>
      </c>
      <c r="D53" s="21" t="inlineStr">
        <is>
          <t>Q2</t>
        </is>
      </c>
      <c r="E53" s="21" t="n">
        <v>2024</v>
      </c>
      <c r="F53" s="23" t="inlineStr">
        <is>
          <t>Europe</t>
        </is>
      </c>
      <c r="G53" s="23" t="inlineStr">
        <is>
          <t>United Kingdom</t>
        </is>
      </c>
      <c r="H53" s="23" t="inlineStr">
        <is>
          <t>SMB</t>
        </is>
      </c>
      <c r="I53" s="23" t="inlineStr">
        <is>
          <t>Cybersecurity</t>
        </is>
      </c>
      <c r="J53" s="8" t="inlineStr">
        <is>
          <t>Threat Intelligence API</t>
        </is>
      </c>
      <c r="K53" s="23" t="inlineStr">
        <is>
          <t>Chloe Bennett</t>
        </is>
      </c>
      <c r="L53" s="24" t="n">
        <v>60</v>
      </c>
      <c r="M53" s="25" t="n">
        <v>2730.4</v>
      </c>
      <c r="N53" s="25" t="n">
        <v>163824</v>
      </c>
      <c r="O53" s="25" t="n">
        <v>33591.79</v>
      </c>
      <c r="P53" s="25" t="n">
        <v>130232.21</v>
      </c>
      <c r="Q53" s="25" t="n">
        <v>12399.68</v>
      </c>
      <c r="R53" s="25" t="n">
        <v>143511.72</v>
      </c>
      <c r="S53" s="25" t="n">
        <v>163824</v>
      </c>
      <c r="T53" s="26" t="n">
        <v>0.1415</v>
      </c>
      <c r="U53" s="25" t="n">
        <v>133967.19</v>
      </c>
      <c r="V53" s="26" t="n">
        <v>1.2229</v>
      </c>
      <c r="W53" s="21" t="inlineStr">
        <is>
          <t>Spring</t>
        </is>
      </c>
    </row>
    <row r="54" ht="20" customHeight="1">
      <c r="A54" s="15" t="inlineStr">
        <is>
          <t>ORD-2025-1053</t>
        </is>
      </c>
      <c r="B54" s="16" t="n">
        <v>45432</v>
      </c>
      <c r="C54" s="17" t="inlineStr">
        <is>
          <t>May</t>
        </is>
      </c>
      <c r="D54" s="15" t="inlineStr">
        <is>
          <t>Q2</t>
        </is>
      </c>
      <c r="E54" s="15" t="n">
        <v>2024</v>
      </c>
      <c r="F54" s="17" t="inlineStr">
        <is>
          <t>Asia-Pacific</t>
        </is>
      </c>
      <c r="G54" s="17" t="inlineStr">
        <is>
          <t>India</t>
        </is>
      </c>
      <c r="H54" s="17" t="inlineStr">
        <is>
          <t>SMB</t>
        </is>
      </c>
      <c r="I54" s="17" t="inlineStr">
        <is>
          <t>Cloud Software</t>
        </is>
      </c>
      <c r="J54" s="11" t="inlineStr">
        <is>
          <t>Cloud Storage Enterprise</t>
        </is>
      </c>
      <c r="K54" s="17" t="inlineStr">
        <is>
          <t>David Kim</t>
        </is>
      </c>
      <c r="L54" s="18" t="n">
        <v>24</v>
      </c>
      <c r="M54" s="19" t="n">
        <v>781.98</v>
      </c>
      <c r="N54" s="19" t="n">
        <v>18767.52</v>
      </c>
      <c r="O54" s="19" t="n">
        <v>2873.4</v>
      </c>
      <c r="P54" s="19" t="n">
        <v>15894.12</v>
      </c>
      <c r="Q54" s="19" t="n">
        <v>1885.02</v>
      </c>
      <c r="R54" s="19" t="n">
        <v>21347.14</v>
      </c>
      <c r="S54" s="19" t="n">
        <v>18767.52</v>
      </c>
      <c r="T54" s="20" t="n">
        <v>-0.1208</v>
      </c>
      <c r="U54" s="19" t="n">
        <v>21411.44</v>
      </c>
      <c r="V54" s="20" t="n">
        <v>0.8764999999999999</v>
      </c>
      <c r="W54" s="15" t="inlineStr">
        <is>
          <t>Spring</t>
        </is>
      </c>
    </row>
    <row r="55" ht="20" customHeight="1">
      <c r="A55" s="21" t="inlineStr">
        <is>
          <t>ORD-2025-1054</t>
        </is>
      </c>
      <c r="B55" s="22" t="n">
        <v>45435</v>
      </c>
      <c r="C55" s="23" t="inlineStr">
        <is>
          <t>May</t>
        </is>
      </c>
      <c r="D55" s="21" t="inlineStr">
        <is>
          <t>Q2</t>
        </is>
      </c>
      <c r="E55" s="21" t="n">
        <v>2024</v>
      </c>
      <c r="F55" s="23" t="inlineStr">
        <is>
          <t>Latin America</t>
        </is>
      </c>
      <c r="G55" s="23" t="inlineStr">
        <is>
          <t>Mexico</t>
        </is>
      </c>
      <c r="H55" s="23" t="inlineStr">
        <is>
          <t>Enterprise</t>
        </is>
      </c>
      <c r="I55" s="23" t="inlineStr">
        <is>
          <t>Hardware &amp; Infrastructure</t>
        </is>
      </c>
      <c r="J55" s="8" t="inlineStr">
        <is>
          <t>Enterprise Server V4</t>
        </is>
      </c>
      <c r="K55" s="23" t="inlineStr">
        <is>
          <t>Sarah Jenkins</t>
        </is>
      </c>
      <c r="L55" s="24" t="n">
        <v>4</v>
      </c>
      <c r="M55" s="25" t="n">
        <v>8251.139999999999</v>
      </c>
      <c r="N55" s="25" t="n">
        <v>33004.56</v>
      </c>
      <c r="O55" s="25" t="n">
        <v>18658.19</v>
      </c>
      <c r="P55" s="25" t="n">
        <v>14346.37</v>
      </c>
      <c r="Q55" s="25" t="n">
        <v>3551.42</v>
      </c>
      <c r="R55" s="25" t="n">
        <v>35563</v>
      </c>
      <c r="S55" s="25" t="n">
        <v>33004.56</v>
      </c>
      <c r="T55" s="26" t="n">
        <v>-0.07190000000000001</v>
      </c>
      <c r="U55" s="25" t="n">
        <v>26871.29</v>
      </c>
      <c r="V55" s="26" t="n">
        <v>1.2282</v>
      </c>
      <c r="W55" s="21" t="inlineStr">
        <is>
          <t>Spring</t>
        </is>
      </c>
    </row>
    <row r="56" ht="20" customHeight="1">
      <c r="A56" s="15" t="inlineStr">
        <is>
          <t>ORD-2025-1055</t>
        </is>
      </c>
      <c r="B56" s="16" t="n">
        <v>45437</v>
      </c>
      <c r="C56" s="17" t="inlineStr">
        <is>
          <t>May</t>
        </is>
      </c>
      <c r="D56" s="15" t="inlineStr">
        <is>
          <t>Q2</t>
        </is>
      </c>
      <c r="E56" s="15" t="n">
        <v>2024</v>
      </c>
      <c r="F56" s="17" t="inlineStr">
        <is>
          <t>Asia-Pacific</t>
        </is>
      </c>
      <c r="G56" s="17" t="inlineStr">
        <is>
          <t>India</t>
        </is>
      </c>
      <c r="H56" s="17" t="inlineStr">
        <is>
          <t>Mid-Market</t>
        </is>
      </c>
      <c r="I56" s="17" t="inlineStr">
        <is>
          <t>Cybersecurity</t>
        </is>
      </c>
      <c r="J56" s="11" t="inlineStr">
        <is>
          <t>Threat Intelligence API</t>
        </is>
      </c>
      <c r="K56" s="17" t="inlineStr">
        <is>
          <t>Sofia Rodriguez</t>
        </is>
      </c>
      <c r="L56" s="18" t="n">
        <v>60</v>
      </c>
      <c r="M56" s="19" t="n">
        <v>2905.9</v>
      </c>
      <c r="N56" s="19" t="n">
        <v>174354</v>
      </c>
      <c r="O56" s="19" t="n">
        <v>33626.36</v>
      </c>
      <c r="P56" s="19" t="n">
        <v>140727.64</v>
      </c>
      <c r="Q56" s="19" t="n">
        <v>15193.5</v>
      </c>
      <c r="R56" s="19" t="n">
        <v>181621.91</v>
      </c>
      <c r="S56" s="19" t="n">
        <v>174354</v>
      </c>
      <c r="T56" s="20" t="n">
        <v>-0.04</v>
      </c>
      <c r="U56" s="19" t="n">
        <v>162431.77</v>
      </c>
      <c r="V56" s="20" t="n">
        <v>1.0734</v>
      </c>
      <c r="W56" s="15" t="inlineStr">
        <is>
          <t>Spring</t>
        </is>
      </c>
    </row>
    <row r="57" ht="20" customHeight="1">
      <c r="A57" s="21" t="inlineStr">
        <is>
          <t>ORD-2025-1056</t>
        </is>
      </c>
      <c r="B57" s="22" t="n">
        <v>45440</v>
      </c>
      <c r="C57" s="23" t="inlineStr">
        <is>
          <t>May</t>
        </is>
      </c>
      <c r="D57" s="21" t="inlineStr">
        <is>
          <t>Q2</t>
        </is>
      </c>
      <c r="E57" s="21" t="n">
        <v>2024</v>
      </c>
      <c r="F57" s="23" t="inlineStr">
        <is>
          <t>Latin America</t>
        </is>
      </c>
      <c r="G57" s="23" t="inlineStr">
        <is>
          <t>Brazil</t>
        </is>
      </c>
      <c r="H57" s="23" t="inlineStr">
        <is>
          <t>SMB</t>
        </is>
      </c>
      <c r="I57" s="23" t="inlineStr">
        <is>
          <t>Cloud Software</t>
        </is>
      </c>
      <c r="J57" s="8" t="inlineStr">
        <is>
          <t>SaaS Core License</t>
        </is>
      </c>
      <c r="K57" s="23" t="inlineStr">
        <is>
          <t>Sofia Rodriguez</t>
        </is>
      </c>
      <c r="L57" s="24" t="n">
        <v>36</v>
      </c>
      <c r="M57" s="25" t="n">
        <v>1230.84</v>
      </c>
      <c r="N57" s="25" t="n">
        <v>44310.24</v>
      </c>
      <c r="O57" s="25" t="n">
        <v>6450.16</v>
      </c>
      <c r="P57" s="25" t="n">
        <v>37860.08</v>
      </c>
      <c r="Q57" s="25" t="n">
        <v>4677.19</v>
      </c>
      <c r="R57" s="25" t="n">
        <v>47753.62</v>
      </c>
      <c r="S57" s="25" t="n">
        <v>44310.24</v>
      </c>
      <c r="T57" s="26" t="n">
        <v>-0.0721</v>
      </c>
      <c r="U57" s="25" t="n">
        <v>51959.77</v>
      </c>
      <c r="V57" s="26" t="n">
        <v>0.8528</v>
      </c>
      <c r="W57" s="21" t="inlineStr">
        <is>
          <t>Spring</t>
        </is>
      </c>
    </row>
    <row r="58" ht="20" customHeight="1">
      <c r="A58" s="15" t="inlineStr">
        <is>
          <t>ORD-2025-1057</t>
        </is>
      </c>
      <c r="B58" s="16" t="n">
        <v>45443</v>
      </c>
      <c r="C58" s="17" t="inlineStr">
        <is>
          <t>May</t>
        </is>
      </c>
      <c r="D58" s="15" t="inlineStr">
        <is>
          <t>Q2</t>
        </is>
      </c>
      <c r="E58" s="15" t="n">
        <v>2024</v>
      </c>
      <c r="F58" s="17" t="inlineStr">
        <is>
          <t>Latin America</t>
        </is>
      </c>
      <c r="G58" s="17" t="inlineStr">
        <is>
          <t>Brazil</t>
        </is>
      </c>
      <c r="H58" s="17" t="inlineStr">
        <is>
          <t>Enterprise</t>
        </is>
      </c>
      <c r="I58" s="17" t="inlineStr">
        <is>
          <t>Cloud Software</t>
        </is>
      </c>
      <c r="J58" s="11" t="inlineStr">
        <is>
          <t>CRM Pro Core</t>
        </is>
      </c>
      <c r="K58" s="17" t="inlineStr">
        <is>
          <t>Marcus Vance</t>
        </is>
      </c>
      <c r="L58" s="18" t="n">
        <v>24</v>
      </c>
      <c r="M58" s="19" t="n">
        <v>1432.03</v>
      </c>
      <c r="N58" s="19" t="n">
        <v>34368.72</v>
      </c>
      <c r="O58" s="19" t="n">
        <v>5265.66</v>
      </c>
      <c r="P58" s="19" t="n">
        <v>29103.06</v>
      </c>
      <c r="Q58" s="19" t="n">
        <v>4502.19</v>
      </c>
      <c r="R58" s="19" t="n">
        <v>36679.36</v>
      </c>
      <c r="S58" s="19" t="n">
        <v>34368.72</v>
      </c>
      <c r="T58" s="20" t="n">
        <v>-0.063</v>
      </c>
      <c r="U58" s="19" t="n">
        <v>37602.3</v>
      </c>
      <c r="V58" s="20" t="n">
        <v>0.914</v>
      </c>
      <c r="W58" s="15" t="inlineStr">
        <is>
          <t>Spring</t>
        </is>
      </c>
    </row>
    <row r="59" ht="20" customHeight="1">
      <c r="A59" s="21" t="inlineStr">
        <is>
          <t>ORD-2025-1058</t>
        </is>
      </c>
      <c r="B59" s="22" t="n">
        <v>45445</v>
      </c>
      <c r="C59" s="23" t="inlineStr">
        <is>
          <t>June</t>
        </is>
      </c>
      <c r="D59" s="21" t="inlineStr">
        <is>
          <t>Q2</t>
        </is>
      </c>
      <c r="E59" s="21" t="n">
        <v>2024</v>
      </c>
      <c r="F59" s="23" t="inlineStr">
        <is>
          <t>North America</t>
        </is>
      </c>
      <c r="G59" s="23" t="inlineStr">
        <is>
          <t>Canada</t>
        </is>
      </c>
      <c r="H59" s="23" t="inlineStr">
        <is>
          <t>Enterprise</t>
        </is>
      </c>
      <c r="I59" s="23" t="inlineStr">
        <is>
          <t>Professional Services</t>
        </is>
      </c>
      <c r="J59" s="8" t="inlineStr">
        <is>
          <t>Implementation Blueprint</t>
        </is>
      </c>
      <c r="K59" s="23" t="inlineStr">
        <is>
          <t>Akiro Tanaka</t>
        </is>
      </c>
      <c r="L59" s="24" t="n">
        <v>2</v>
      </c>
      <c r="M59" s="25" t="n">
        <v>4884.34</v>
      </c>
      <c r="N59" s="25" t="n">
        <v>9768.68</v>
      </c>
      <c r="O59" s="25" t="n">
        <v>3905.12</v>
      </c>
      <c r="P59" s="25" t="n">
        <v>5863.56</v>
      </c>
      <c r="Q59" s="25" t="n">
        <v>1021.2</v>
      </c>
      <c r="R59" s="25" t="n">
        <v>10170.85</v>
      </c>
      <c r="S59" s="25" t="n">
        <v>9768.68</v>
      </c>
      <c r="T59" s="26" t="n">
        <v>-0.0395</v>
      </c>
      <c r="U59" s="25" t="n">
        <v>8914.469999999999</v>
      </c>
      <c r="V59" s="26" t="n">
        <v>1.0958</v>
      </c>
      <c r="W59" s="21" t="inlineStr">
        <is>
          <t>Summer</t>
        </is>
      </c>
    </row>
    <row r="60" ht="20" customHeight="1">
      <c r="A60" s="15" t="inlineStr">
        <is>
          <t>ORD-2025-1059</t>
        </is>
      </c>
      <c r="B60" s="16" t="n">
        <v>45448</v>
      </c>
      <c r="C60" s="17" t="inlineStr">
        <is>
          <t>June</t>
        </is>
      </c>
      <c r="D60" s="15" t="inlineStr">
        <is>
          <t>Q2</t>
        </is>
      </c>
      <c r="E60" s="15" t="n">
        <v>2024</v>
      </c>
      <c r="F60" s="17" t="inlineStr">
        <is>
          <t>Asia-Pacific</t>
        </is>
      </c>
      <c r="G60" s="17" t="inlineStr">
        <is>
          <t>India</t>
        </is>
      </c>
      <c r="H60" s="17" t="inlineStr">
        <is>
          <t>Public Sector</t>
        </is>
      </c>
      <c r="I60" s="17" t="inlineStr">
        <is>
          <t>Cybersecurity</t>
        </is>
      </c>
      <c r="J60" s="11" t="inlineStr">
        <is>
          <t>Zero-Trust Access Token</t>
        </is>
      </c>
      <c r="K60" s="17" t="inlineStr">
        <is>
          <t>David Kim</t>
        </is>
      </c>
      <c r="L60" s="18" t="n">
        <v>75</v>
      </c>
      <c r="M60" s="19" t="n">
        <v>428.5</v>
      </c>
      <c r="N60" s="19" t="n">
        <v>32137.5</v>
      </c>
      <c r="O60" s="19" t="n">
        <v>6591.17</v>
      </c>
      <c r="P60" s="19" t="n">
        <v>25546.33</v>
      </c>
      <c r="Q60" s="19" t="n">
        <v>3781.46</v>
      </c>
      <c r="R60" s="19" t="n">
        <v>36770.86</v>
      </c>
      <c r="S60" s="19" t="n">
        <v>32137.5</v>
      </c>
      <c r="T60" s="20" t="n">
        <v>-0.126</v>
      </c>
      <c r="U60" s="19" t="n">
        <v>28957.8</v>
      </c>
      <c r="V60" s="20" t="n">
        <v>1.1098</v>
      </c>
      <c r="W60" s="15" t="inlineStr">
        <is>
          <t>Summer</t>
        </is>
      </c>
    </row>
    <row r="61" ht="20" customHeight="1">
      <c r="A61" s="21" t="inlineStr">
        <is>
          <t>ORD-2025-1060</t>
        </is>
      </c>
      <c r="B61" s="22" t="n">
        <v>45451</v>
      </c>
      <c r="C61" s="23" t="inlineStr">
        <is>
          <t>June</t>
        </is>
      </c>
      <c r="D61" s="21" t="inlineStr">
        <is>
          <t>Q2</t>
        </is>
      </c>
      <c r="E61" s="21" t="n">
        <v>2024</v>
      </c>
      <c r="F61" s="23" t="inlineStr">
        <is>
          <t>North America</t>
        </is>
      </c>
      <c r="G61" s="23" t="inlineStr">
        <is>
          <t>United States</t>
        </is>
      </c>
      <c r="H61" s="23" t="inlineStr">
        <is>
          <t>Mid-Market</t>
        </is>
      </c>
      <c r="I61" s="23" t="inlineStr">
        <is>
          <t>Cloud Software</t>
        </is>
      </c>
      <c r="J61" s="8" t="inlineStr">
        <is>
          <t>SaaS Core License</t>
        </is>
      </c>
      <c r="K61" s="23" t="inlineStr">
        <is>
          <t>Marcus Vance</t>
        </is>
      </c>
      <c r="L61" s="24" t="n">
        <v>48</v>
      </c>
      <c r="M61" s="25" t="n">
        <v>1199.78</v>
      </c>
      <c r="N61" s="25" t="n">
        <v>57589.44</v>
      </c>
      <c r="O61" s="25" t="n">
        <v>8295.4</v>
      </c>
      <c r="P61" s="25" t="n">
        <v>49294.04</v>
      </c>
      <c r="Q61" s="25" t="n">
        <v>7165.58</v>
      </c>
      <c r="R61" s="25" t="n">
        <v>64558.29</v>
      </c>
      <c r="S61" s="25" t="n">
        <v>57589.44</v>
      </c>
      <c r="T61" s="26" t="n">
        <v>-0.1079</v>
      </c>
      <c r="U61" s="25" t="n">
        <v>46188.62</v>
      </c>
      <c r="V61" s="26" t="n">
        <v>1.2468</v>
      </c>
      <c r="W61" s="21" t="inlineStr">
        <is>
          <t>Summer</t>
        </is>
      </c>
    </row>
    <row r="62" ht="20" customHeight="1">
      <c r="A62" s="15" t="inlineStr">
        <is>
          <t>ORD-2025-1061</t>
        </is>
      </c>
      <c r="B62" s="16" t="n">
        <v>45454</v>
      </c>
      <c r="C62" s="17" t="inlineStr">
        <is>
          <t>June</t>
        </is>
      </c>
      <c r="D62" s="15" t="inlineStr">
        <is>
          <t>Q2</t>
        </is>
      </c>
      <c r="E62" s="15" t="n">
        <v>2024</v>
      </c>
      <c r="F62" s="17" t="inlineStr">
        <is>
          <t>Asia-Pacific</t>
        </is>
      </c>
      <c r="G62" s="17" t="inlineStr">
        <is>
          <t>Japan</t>
        </is>
      </c>
      <c r="H62" s="17" t="inlineStr">
        <is>
          <t>Enterprise</t>
        </is>
      </c>
      <c r="I62" s="17" t="inlineStr">
        <is>
          <t>Hardware &amp; Infrastructure</t>
        </is>
      </c>
      <c r="J62" s="11" t="inlineStr">
        <is>
          <t>Secure Route Switch</t>
        </is>
      </c>
      <c r="K62" s="17" t="inlineStr">
        <is>
          <t>Akiro Tanaka</t>
        </is>
      </c>
      <c r="L62" s="18" t="n">
        <v>8</v>
      </c>
      <c r="M62" s="19" t="n">
        <v>1197.15</v>
      </c>
      <c r="N62" s="19" t="n">
        <v>9577.200000000001</v>
      </c>
      <c r="O62" s="19" t="n">
        <v>5286.68</v>
      </c>
      <c r="P62" s="19" t="n">
        <v>4290.52</v>
      </c>
      <c r="Q62" s="19" t="n">
        <v>1332.17</v>
      </c>
      <c r="R62" s="19" t="n">
        <v>9998.59</v>
      </c>
      <c r="S62" s="19" t="n">
        <v>9577.200000000001</v>
      </c>
      <c r="T62" s="20" t="n">
        <v>-0.0421</v>
      </c>
      <c r="U62" s="19" t="n">
        <v>10326.96</v>
      </c>
      <c r="V62" s="20" t="n">
        <v>0.9274</v>
      </c>
      <c r="W62" s="15" t="inlineStr">
        <is>
          <t>Summer</t>
        </is>
      </c>
    </row>
    <row r="63" ht="20" customHeight="1">
      <c r="A63" s="21" t="inlineStr">
        <is>
          <t>ORD-2025-1062</t>
        </is>
      </c>
      <c r="B63" s="22" t="n">
        <v>45456</v>
      </c>
      <c r="C63" s="23" t="inlineStr">
        <is>
          <t>June</t>
        </is>
      </c>
      <c r="D63" s="21" t="inlineStr">
        <is>
          <t>Q2</t>
        </is>
      </c>
      <c r="E63" s="21" t="n">
        <v>2024</v>
      </c>
      <c r="F63" s="23" t="inlineStr">
        <is>
          <t>Asia-Pacific</t>
        </is>
      </c>
      <c r="G63" s="23" t="inlineStr">
        <is>
          <t>India</t>
        </is>
      </c>
      <c r="H63" s="23" t="inlineStr">
        <is>
          <t>Public Sector</t>
        </is>
      </c>
      <c r="I63" s="23" t="inlineStr">
        <is>
          <t>Hardware &amp; Infrastructure</t>
        </is>
      </c>
      <c r="J63" s="8" t="inlineStr">
        <is>
          <t>Quantum Workstation</t>
        </is>
      </c>
      <c r="K63" s="23" t="inlineStr">
        <is>
          <t>Akiro Tanaka</t>
        </is>
      </c>
      <c r="L63" s="24" t="n">
        <v>8</v>
      </c>
      <c r="M63" s="25" t="n">
        <v>4649.12</v>
      </c>
      <c r="N63" s="25" t="n">
        <v>37192.96</v>
      </c>
      <c r="O63" s="25" t="n">
        <v>20208.24</v>
      </c>
      <c r="P63" s="25" t="n">
        <v>16984.72</v>
      </c>
      <c r="Q63" s="25" t="n">
        <v>4026.35</v>
      </c>
      <c r="R63" s="25" t="n">
        <v>39348.39</v>
      </c>
      <c r="S63" s="25" t="n">
        <v>37192.96</v>
      </c>
      <c r="T63" s="26" t="n">
        <v>-0.0548</v>
      </c>
      <c r="U63" s="25" t="n">
        <v>30480.13</v>
      </c>
      <c r="V63" s="26" t="n">
        <v>1.2202</v>
      </c>
      <c r="W63" s="21" t="inlineStr">
        <is>
          <t>Summer</t>
        </is>
      </c>
    </row>
    <row r="64" ht="20" customHeight="1">
      <c r="A64" s="15" t="inlineStr">
        <is>
          <t>ORD-2025-1063</t>
        </is>
      </c>
      <c r="B64" s="16" t="n">
        <v>45459</v>
      </c>
      <c r="C64" s="17" t="inlineStr">
        <is>
          <t>June</t>
        </is>
      </c>
      <c r="D64" s="15" t="inlineStr">
        <is>
          <t>Q2</t>
        </is>
      </c>
      <c r="E64" s="15" t="n">
        <v>2024</v>
      </c>
      <c r="F64" s="17" t="inlineStr">
        <is>
          <t>North America</t>
        </is>
      </c>
      <c r="G64" s="17" t="inlineStr">
        <is>
          <t>United States</t>
        </is>
      </c>
      <c r="H64" s="17" t="inlineStr">
        <is>
          <t>Public Sector</t>
        </is>
      </c>
      <c r="I64" s="17" t="inlineStr">
        <is>
          <t>Cybersecurity</t>
        </is>
      </c>
      <c r="J64" s="11" t="inlineStr">
        <is>
          <t>Zero-Trust Access Token</t>
        </is>
      </c>
      <c r="K64" s="17" t="inlineStr">
        <is>
          <t>James O'Connor</t>
        </is>
      </c>
      <c r="L64" s="18" t="n">
        <v>45</v>
      </c>
      <c r="M64" s="19" t="n">
        <v>441.35</v>
      </c>
      <c r="N64" s="19" t="n">
        <v>19860.75</v>
      </c>
      <c r="O64" s="19" t="n">
        <v>3955.07</v>
      </c>
      <c r="P64" s="19" t="n">
        <v>15905.68</v>
      </c>
      <c r="Q64" s="19" t="n">
        <v>2473.62</v>
      </c>
      <c r="R64" s="19" t="n">
        <v>17189.06</v>
      </c>
      <c r="S64" s="19" t="n">
        <v>19860.75</v>
      </c>
      <c r="T64" s="20" t="n">
        <v>0.1554</v>
      </c>
      <c r="U64" s="19" t="n">
        <v>20119.75</v>
      </c>
      <c r="V64" s="20" t="n">
        <v>0.9871</v>
      </c>
      <c r="W64" s="15" t="inlineStr">
        <is>
          <t>Summer</t>
        </is>
      </c>
    </row>
    <row r="65" ht="20" customHeight="1">
      <c r="A65" s="21" t="inlineStr">
        <is>
          <t>ORD-2025-1064</t>
        </is>
      </c>
      <c r="B65" s="22" t="n">
        <v>45462</v>
      </c>
      <c r="C65" s="23" t="inlineStr">
        <is>
          <t>June</t>
        </is>
      </c>
      <c r="D65" s="21" t="inlineStr">
        <is>
          <t>Q2</t>
        </is>
      </c>
      <c r="E65" s="21" t="n">
        <v>2024</v>
      </c>
      <c r="F65" s="23" t="inlineStr">
        <is>
          <t>North America</t>
        </is>
      </c>
      <c r="G65" s="23" t="inlineStr">
        <is>
          <t>United States</t>
        </is>
      </c>
      <c r="H65" s="23" t="inlineStr">
        <is>
          <t>Mid-Market</t>
        </is>
      </c>
      <c r="I65" s="23" t="inlineStr">
        <is>
          <t>Cloud Software</t>
        </is>
      </c>
      <c r="J65" s="8" t="inlineStr">
        <is>
          <t>SaaS Core License</t>
        </is>
      </c>
      <c r="K65" s="23" t="inlineStr">
        <is>
          <t>Sofia Rodriguez</t>
        </is>
      </c>
      <c r="L65" s="24" t="n">
        <v>36</v>
      </c>
      <c r="M65" s="25" t="n">
        <v>1237.97</v>
      </c>
      <c r="N65" s="25" t="n">
        <v>44566.92</v>
      </c>
      <c r="O65" s="25" t="n">
        <v>6754.53</v>
      </c>
      <c r="P65" s="25" t="n">
        <v>37812.39</v>
      </c>
      <c r="Q65" s="25" t="n">
        <v>6106.2</v>
      </c>
      <c r="R65" s="25" t="n">
        <v>46838.73</v>
      </c>
      <c r="S65" s="25" t="n">
        <v>44566.92</v>
      </c>
      <c r="T65" s="26" t="n">
        <v>-0.0485</v>
      </c>
      <c r="U65" s="25" t="n">
        <v>52805.06</v>
      </c>
      <c r="V65" s="26" t="n">
        <v>0.844</v>
      </c>
      <c r="W65" s="21" t="inlineStr">
        <is>
          <t>Summer</t>
        </is>
      </c>
    </row>
    <row r="66" ht="20" customHeight="1">
      <c r="A66" s="15" t="inlineStr">
        <is>
          <t>ORD-2025-1065</t>
        </is>
      </c>
      <c r="B66" s="16" t="n">
        <v>45464</v>
      </c>
      <c r="C66" s="17" t="inlineStr">
        <is>
          <t>June</t>
        </is>
      </c>
      <c r="D66" s="15" t="inlineStr">
        <is>
          <t>Q2</t>
        </is>
      </c>
      <c r="E66" s="15" t="n">
        <v>2024</v>
      </c>
      <c r="F66" s="17" t="inlineStr">
        <is>
          <t>Asia-Pacific</t>
        </is>
      </c>
      <c r="G66" s="17" t="inlineStr">
        <is>
          <t>India</t>
        </is>
      </c>
      <c r="H66" s="17" t="inlineStr">
        <is>
          <t>SMB</t>
        </is>
      </c>
      <c r="I66" s="17" t="inlineStr">
        <is>
          <t>Cloud Software</t>
        </is>
      </c>
      <c r="J66" s="11" t="inlineStr">
        <is>
          <t>Advanced Analytics Suite</t>
        </is>
      </c>
      <c r="K66" s="17" t="inlineStr">
        <is>
          <t>Chloe Bennett</t>
        </is>
      </c>
      <c r="L66" s="18" t="n">
        <v>60</v>
      </c>
      <c r="M66" s="19" t="n">
        <v>2616.99</v>
      </c>
      <c r="N66" s="19" t="n">
        <v>157019.4</v>
      </c>
      <c r="O66" s="19" t="n">
        <v>23558.3</v>
      </c>
      <c r="P66" s="19" t="n">
        <v>133461.1</v>
      </c>
      <c r="Q66" s="19" t="n">
        <v>21284.42</v>
      </c>
      <c r="R66" s="19" t="n">
        <v>135546.94</v>
      </c>
      <c r="S66" s="19" t="n">
        <v>157019.4</v>
      </c>
      <c r="T66" s="20" t="n">
        <v>0.1584</v>
      </c>
      <c r="U66" s="19" t="n">
        <v>132491.01</v>
      </c>
      <c r="V66" s="20" t="n">
        <v>1.1851</v>
      </c>
      <c r="W66" s="15" t="inlineStr">
        <is>
          <t>Summer</t>
        </is>
      </c>
    </row>
    <row r="67" ht="20" customHeight="1">
      <c r="A67" s="21" t="inlineStr">
        <is>
          <t>ORD-2025-1066</t>
        </is>
      </c>
      <c r="B67" s="22" t="n">
        <v>45467</v>
      </c>
      <c r="C67" s="23" t="inlineStr">
        <is>
          <t>June</t>
        </is>
      </c>
      <c r="D67" s="21" t="inlineStr">
        <is>
          <t>Q2</t>
        </is>
      </c>
      <c r="E67" s="21" t="n">
        <v>2024</v>
      </c>
      <c r="F67" s="23" t="inlineStr">
        <is>
          <t>Europe</t>
        </is>
      </c>
      <c r="G67" s="23" t="inlineStr">
        <is>
          <t>France</t>
        </is>
      </c>
      <c r="H67" s="23" t="inlineStr">
        <is>
          <t>Enterprise</t>
        </is>
      </c>
      <c r="I67" s="23" t="inlineStr">
        <is>
          <t>Cloud Software</t>
        </is>
      </c>
      <c r="J67" s="8" t="inlineStr">
        <is>
          <t>SaaS Core License</t>
        </is>
      </c>
      <c r="K67" s="23" t="inlineStr">
        <is>
          <t>Eleanor Vance</t>
        </is>
      </c>
      <c r="L67" s="24" t="n">
        <v>60</v>
      </c>
      <c r="M67" s="25" t="n">
        <v>1150.61</v>
      </c>
      <c r="N67" s="25" t="n">
        <v>69036.60000000001</v>
      </c>
      <c r="O67" s="25" t="n">
        <v>10396.77</v>
      </c>
      <c r="P67" s="25" t="n">
        <v>58639.83</v>
      </c>
      <c r="Q67" s="25" t="n">
        <v>4921.38</v>
      </c>
      <c r="R67" s="25" t="n">
        <v>70864.63</v>
      </c>
      <c r="S67" s="25" t="n">
        <v>69036.60000000001</v>
      </c>
      <c r="T67" s="26" t="n">
        <v>-0.0258</v>
      </c>
      <c r="U67" s="25" t="n">
        <v>79930.02</v>
      </c>
      <c r="V67" s="26" t="n">
        <v>0.8637</v>
      </c>
      <c r="W67" s="21" t="inlineStr">
        <is>
          <t>Summer</t>
        </is>
      </c>
    </row>
    <row r="68" ht="20" customHeight="1">
      <c r="A68" s="15" t="inlineStr">
        <is>
          <t>ORD-2025-1067</t>
        </is>
      </c>
      <c r="B68" s="16" t="n">
        <v>45470</v>
      </c>
      <c r="C68" s="17" t="inlineStr">
        <is>
          <t>June</t>
        </is>
      </c>
      <c r="D68" s="15" t="inlineStr">
        <is>
          <t>Q2</t>
        </is>
      </c>
      <c r="E68" s="15" t="n">
        <v>2024</v>
      </c>
      <c r="F68" s="17" t="inlineStr">
        <is>
          <t>Latin America</t>
        </is>
      </c>
      <c r="G68" s="17" t="inlineStr">
        <is>
          <t>Mexico</t>
        </is>
      </c>
      <c r="H68" s="17" t="inlineStr">
        <is>
          <t>Enterprise</t>
        </is>
      </c>
      <c r="I68" s="17" t="inlineStr">
        <is>
          <t>Hardware &amp; Infrastructure</t>
        </is>
      </c>
      <c r="J68" s="11" t="inlineStr">
        <is>
          <t>Quantum Workstation</t>
        </is>
      </c>
      <c r="K68" s="17" t="inlineStr">
        <is>
          <t>Chloe Bennett</t>
        </is>
      </c>
      <c r="L68" s="18" t="n">
        <v>4</v>
      </c>
      <c r="M68" s="19" t="n">
        <v>4631.32</v>
      </c>
      <c r="N68" s="19" t="n">
        <v>18525.28</v>
      </c>
      <c r="O68" s="19" t="n">
        <v>10175</v>
      </c>
      <c r="P68" s="19" t="n">
        <v>8350.280000000001</v>
      </c>
      <c r="Q68" s="19" t="n">
        <v>1713.8</v>
      </c>
      <c r="R68" s="19" t="n">
        <v>21300.48</v>
      </c>
      <c r="S68" s="19" t="n">
        <v>18525.28</v>
      </c>
      <c r="T68" s="20" t="n">
        <v>-0.1303</v>
      </c>
      <c r="U68" s="19" t="n">
        <v>22167.17</v>
      </c>
      <c r="V68" s="20" t="n">
        <v>0.8357</v>
      </c>
      <c r="W68" s="15" t="inlineStr">
        <is>
          <t>Summer</t>
        </is>
      </c>
    </row>
    <row r="69" ht="20" customHeight="1">
      <c r="A69" s="21" t="inlineStr">
        <is>
          <t>ORD-2025-1068</t>
        </is>
      </c>
      <c r="B69" s="22" t="n">
        <v>45472</v>
      </c>
      <c r="C69" s="23" t="inlineStr">
        <is>
          <t>June</t>
        </is>
      </c>
      <c r="D69" s="21" t="inlineStr">
        <is>
          <t>Q2</t>
        </is>
      </c>
      <c r="E69" s="21" t="n">
        <v>2024</v>
      </c>
      <c r="F69" s="23" t="inlineStr">
        <is>
          <t>North America</t>
        </is>
      </c>
      <c r="G69" s="23" t="inlineStr">
        <is>
          <t>Canada</t>
        </is>
      </c>
      <c r="H69" s="23" t="inlineStr">
        <is>
          <t>SMB</t>
        </is>
      </c>
      <c r="I69" s="23" t="inlineStr">
        <is>
          <t>Cybersecurity</t>
        </is>
      </c>
      <c r="J69" s="8" t="inlineStr">
        <is>
          <t>Endpoint Detection X</t>
        </is>
      </c>
      <c r="K69" s="23" t="inlineStr">
        <is>
          <t>Eleanor Vance</t>
        </is>
      </c>
      <c r="L69" s="24" t="n">
        <v>15</v>
      </c>
      <c r="M69" s="25" t="n">
        <v>1109.9</v>
      </c>
      <c r="N69" s="25" t="n">
        <v>16648.5</v>
      </c>
      <c r="O69" s="25" t="n">
        <v>3299.38</v>
      </c>
      <c r="P69" s="25" t="n">
        <v>13349.12</v>
      </c>
      <c r="Q69" s="25" t="n">
        <v>1430.43</v>
      </c>
      <c r="R69" s="25" t="n">
        <v>16927.23</v>
      </c>
      <c r="S69" s="25" t="n">
        <v>16648.5</v>
      </c>
      <c r="T69" s="26" t="n">
        <v>-0.0165</v>
      </c>
      <c r="U69" s="25" t="n">
        <v>13728.47</v>
      </c>
      <c r="V69" s="26" t="n">
        <v>1.2127</v>
      </c>
      <c r="W69" s="21" t="inlineStr">
        <is>
          <t>Summer</t>
        </is>
      </c>
    </row>
    <row r="70" ht="20" customHeight="1">
      <c r="A70" s="15" t="inlineStr">
        <is>
          <t>ORD-2025-1069</t>
        </is>
      </c>
      <c r="B70" s="16" t="n">
        <v>45475</v>
      </c>
      <c r="C70" s="17" t="inlineStr">
        <is>
          <t>July</t>
        </is>
      </c>
      <c r="D70" s="15" t="inlineStr">
        <is>
          <t>Q3</t>
        </is>
      </c>
      <c r="E70" s="15" t="n">
        <v>2024</v>
      </c>
      <c r="F70" s="17" t="inlineStr">
        <is>
          <t>Latin America</t>
        </is>
      </c>
      <c r="G70" s="17" t="inlineStr">
        <is>
          <t>Mexico</t>
        </is>
      </c>
      <c r="H70" s="17" t="inlineStr">
        <is>
          <t>SMB</t>
        </is>
      </c>
      <c r="I70" s="17" t="inlineStr">
        <is>
          <t>Cloud Software</t>
        </is>
      </c>
      <c r="J70" s="11" t="inlineStr">
        <is>
          <t>CRM Pro Core</t>
        </is>
      </c>
      <c r="K70" s="17" t="inlineStr">
        <is>
          <t>Sarah Jenkins</t>
        </is>
      </c>
      <c r="L70" s="18" t="n">
        <v>60</v>
      </c>
      <c r="M70" s="19" t="n">
        <v>1497.01</v>
      </c>
      <c r="N70" s="19" t="n">
        <v>89820.60000000001</v>
      </c>
      <c r="O70" s="19" t="n">
        <v>13839.4</v>
      </c>
      <c r="P70" s="19" t="n">
        <v>75981.2</v>
      </c>
      <c r="Q70" s="19" t="n">
        <v>6013.85</v>
      </c>
      <c r="R70" s="19" t="n">
        <v>89098.72</v>
      </c>
      <c r="S70" s="19" t="n">
        <v>89820.60000000001</v>
      </c>
      <c r="T70" s="20" t="n">
        <v>0.0081</v>
      </c>
      <c r="U70" s="19" t="n">
        <v>103577.75</v>
      </c>
      <c r="V70" s="20" t="n">
        <v>0.8672</v>
      </c>
      <c r="W70" s="15" t="inlineStr">
        <is>
          <t>Summer</t>
        </is>
      </c>
    </row>
    <row r="71" ht="20" customHeight="1">
      <c r="A71" s="21" t="inlineStr">
        <is>
          <t>ORD-2025-1070</t>
        </is>
      </c>
      <c r="B71" s="22" t="n">
        <v>45478</v>
      </c>
      <c r="C71" s="23" t="inlineStr">
        <is>
          <t>July</t>
        </is>
      </c>
      <c r="D71" s="21" t="inlineStr">
        <is>
          <t>Q3</t>
        </is>
      </c>
      <c r="E71" s="21" t="n">
        <v>2024</v>
      </c>
      <c r="F71" s="23" t="inlineStr">
        <is>
          <t>Europe</t>
        </is>
      </c>
      <c r="G71" s="23" t="inlineStr">
        <is>
          <t>United Kingdom</t>
        </is>
      </c>
      <c r="H71" s="23" t="inlineStr">
        <is>
          <t>SMB</t>
        </is>
      </c>
      <c r="I71" s="23" t="inlineStr">
        <is>
          <t>Professional Services</t>
        </is>
      </c>
      <c r="J71" s="8" t="inlineStr">
        <is>
          <t>Security Audit Service</t>
        </is>
      </c>
      <c r="K71" s="23" t="inlineStr">
        <is>
          <t>Sofia Rodriguez</t>
        </is>
      </c>
      <c r="L71" s="24" t="n">
        <v>10</v>
      </c>
      <c r="M71" s="25" t="n">
        <v>5952.32</v>
      </c>
      <c r="N71" s="25" t="n">
        <v>59523.2</v>
      </c>
      <c r="O71" s="25" t="n">
        <v>22647.87</v>
      </c>
      <c r="P71" s="25" t="n">
        <v>36875.33</v>
      </c>
      <c r="Q71" s="25" t="n">
        <v>6586.79</v>
      </c>
      <c r="R71" s="25" t="n">
        <v>56181.36</v>
      </c>
      <c r="S71" s="25" t="n">
        <v>59523.2</v>
      </c>
      <c r="T71" s="26" t="n">
        <v>0.0595</v>
      </c>
      <c r="U71" s="25" t="n">
        <v>59906.03</v>
      </c>
      <c r="V71" s="26" t="n">
        <v>0.9936</v>
      </c>
      <c r="W71" s="21" t="inlineStr">
        <is>
          <t>Summer</t>
        </is>
      </c>
    </row>
    <row r="72" ht="20" customHeight="1">
      <c r="A72" s="15" t="inlineStr">
        <is>
          <t>ORD-2025-1071</t>
        </is>
      </c>
      <c r="B72" s="16" t="n">
        <v>45481</v>
      </c>
      <c r="C72" s="17" t="inlineStr">
        <is>
          <t>July</t>
        </is>
      </c>
      <c r="D72" s="15" t="inlineStr">
        <is>
          <t>Q3</t>
        </is>
      </c>
      <c r="E72" s="15" t="n">
        <v>2024</v>
      </c>
      <c r="F72" s="17" t="inlineStr">
        <is>
          <t>Europe</t>
        </is>
      </c>
      <c r="G72" s="17" t="inlineStr">
        <is>
          <t>France</t>
        </is>
      </c>
      <c r="H72" s="17" t="inlineStr">
        <is>
          <t>Mid-Market</t>
        </is>
      </c>
      <c r="I72" s="17" t="inlineStr">
        <is>
          <t>Hardware &amp; Infrastructure</t>
        </is>
      </c>
      <c r="J72" s="11" t="inlineStr">
        <is>
          <t>Quantum Workstation</t>
        </is>
      </c>
      <c r="K72" s="17" t="inlineStr">
        <is>
          <t>Akiro Tanaka</t>
        </is>
      </c>
      <c r="L72" s="18" t="n">
        <v>16</v>
      </c>
      <c r="M72" s="19" t="n">
        <v>4628.1</v>
      </c>
      <c r="N72" s="19" t="n">
        <v>74049.60000000001</v>
      </c>
      <c r="O72" s="19" t="n">
        <v>41128.21</v>
      </c>
      <c r="P72" s="19" t="n">
        <v>32921.39</v>
      </c>
      <c r="Q72" s="19" t="n">
        <v>8802.450000000001</v>
      </c>
      <c r="R72" s="19" t="n">
        <v>65619.55</v>
      </c>
      <c r="S72" s="19" t="n">
        <v>74049.60000000001</v>
      </c>
      <c r="T72" s="20" t="n">
        <v>0.1285</v>
      </c>
      <c r="U72" s="19" t="n">
        <v>86090.47</v>
      </c>
      <c r="V72" s="20" t="n">
        <v>0.8601</v>
      </c>
      <c r="W72" s="15" t="inlineStr">
        <is>
          <t>Summer</t>
        </is>
      </c>
    </row>
    <row r="73" ht="20" customHeight="1">
      <c r="A73" s="21" t="inlineStr">
        <is>
          <t>ORD-2025-1072</t>
        </is>
      </c>
      <c r="B73" s="22" t="n">
        <v>45483</v>
      </c>
      <c r="C73" s="23" t="inlineStr">
        <is>
          <t>July</t>
        </is>
      </c>
      <c r="D73" s="21" t="inlineStr">
        <is>
          <t>Q3</t>
        </is>
      </c>
      <c r="E73" s="21" t="n">
        <v>2024</v>
      </c>
      <c r="F73" s="23" t="inlineStr">
        <is>
          <t>Europe</t>
        </is>
      </c>
      <c r="G73" s="23" t="inlineStr">
        <is>
          <t>France</t>
        </is>
      </c>
      <c r="H73" s="23" t="inlineStr">
        <is>
          <t>SMB</t>
        </is>
      </c>
      <c r="I73" s="23" t="inlineStr">
        <is>
          <t>Cloud Software</t>
        </is>
      </c>
      <c r="J73" s="8" t="inlineStr">
        <is>
          <t>Advanced Analytics Suite</t>
        </is>
      </c>
      <c r="K73" s="23" t="inlineStr">
        <is>
          <t>David Kim</t>
        </is>
      </c>
      <c r="L73" s="24" t="n">
        <v>36</v>
      </c>
      <c r="M73" s="25" t="n">
        <v>2534.84</v>
      </c>
      <c r="N73" s="25" t="n">
        <v>91254.24000000001</v>
      </c>
      <c r="O73" s="25" t="n">
        <v>13777.8</v>
      </c>
      <c r="P73" s="25" t="n">
        <v>77476.44</v>
      </c>
      <c r="Q73" s="25" t="n">
        <v>11666.88</v>
      </c>
      <c r="R73" s="25" t="n">
        <v>97578.81</v>
      </c>
      <c r="S73" s="25" t="n">
        <v>91254.24000000001</v>
      </c>
      <c r="T73" s="26" t="n">
        <v>-0.0648</v>
      </c>
      <c r="U73" s="25" t="n">
        <v>93857.5</v>
      </c>
      <c r="V73" s="26" t="n">
        <v>0.9723000000000001</v>
      </c>
      <c r="W73" s="21" t="inlineStr">
        <is>
          <t>Summer</t>
        </is>
      </c>
    </row>
    <row r="74" ht="20" customHeight="1">
      <c r="A74" s="15" t="inlineStr">
        <is>
          <t>ORD-2025-1073</t>
        </is>
      </c>
      <c r="B74" s="16" t="n">
        <v>45486</v>
      </c>
      <c r="C74" s="17" t="inlineStr">
        <is>
          <t>July</t>
        </is>
      </c>
      <c r="D74" s="15" t="inlineStr">
        <is>
          <t>Q3</t>
        </is>
      </c>
      <c r="E74" s="15" t="n">
        <v>2024</v>
      </c>
      <c r="F74" s="17" t="inlineStr">
        <is>
          <t>North America</t>
        </is>
      </c>
      <c r="G74" s="17" t="inlineStr">
        <is>
          <t>Canada</t>
        </is>
      </c>
      <c r="H74" s="17" t="inlineStr">
        <is>
          <t>SMB</t>
        </is>
      </c>
      <c r="I74" s="17" t="inlineStr">
        <is>
          <t>Cloud Software</t>
        </is>
      </c>
      <c r="J74" s="11" t="inlineStr">
        <is>
          <t>SaaS Core License</t>
        </is>
      </c>
      <c r="K74" s="17" t="inlineStr">
        <is>
          <t>Eleanor Vance</t>
        </is>
      </c>
      <c r="L74" s="18" t="n">
        <v>12</v>
      </c>
      <c r="M74" s="19" t="n">
        <v>1236.61</v>
      </c>
      <c r="N74" s="19" t="n">
        <v>14839.32</v>
      </c>
      <c r="O74" s="19" t="n">
        <v>2274.02</v>
      </c>
      <c r="P74" s="19" t="n">
        <v>12565.3</v>
      </c>
      <c r="Q74" s="19" t="n">
        <v>1036.11</v>
      </c>
      <c r="R74" s="19" t="n">
        <v>13470.83</v>
      </c>
      <c r="S74" s="19" t="n">
        <v>14839.32</v>
      </c>
      <c r="T74" s="20" t="n">
        <v>0.1016</v>
      </c>
      <c r="U74" s="19" t="n">
        <v>15801.57</v>
      </c>
      <c r="V74" s="20" t="n">
        <v>0.9391</v>
      </c>
      <c r="W74" s="15" t="inlineStr">
        <is>
          <t>Summer</t>
        </is>
      </c>
    </row>
    <row r="75" ht="20" customHeight="1">
      <c r="A75" s="21" t="inlineStr">
        <is>
          <t>ORD-2025-1074</t>
        </is>
      </c>
      <c r="B75" s="22" t="n">
        <v>45489</v>
      </c>
      <c r="C75" s="23" t="inlineStr">
        <is>
          <t>July</t>
        </is>
      </c>
      <c r="D75" s="21" t="inlineStr">
        <is>
          <t>Q3</t>
        </is>
      </c>
      <c r="E75" s="21" t="n">
        <v>2024</v>
      </c>
      <c r="F75" s="23" t="inlineStr">
        <is>
          <t>Europe</t>
        </is>
      </c>
      <c r="G75" s="23" t="inlineStr">
        <is>
          <t>France</t>
        </is>
      </c>
      <c r="H75" s="23" t="inlineStr">
        <is>
          <t>Public Sector</t>
        </is>
      </c>
      <c r="I75" s="23" t="inlineStr">
        <is>
          <t>Cloud Software</t>
        </is>
      </c>
      <c r="J75" s="8" t="inlineStr">
        <is>
          <t>Cloud Storage Enterprise</t>
        </is>
      </c>
      <c r="K75" s="23" t="inlineStr">
        <is>
          <t>Chloe Bennett</t>
        </is>
      </c>
      <c r="L75" s="24" t="n">
        <v>36</v>
      </c>
      <c r="M75" s="25" t="n">
        <v>832.25</v>
      </c>
      <c r="N75" s="25" t="n">
        <v>29961</v>
      </c>
      <c r="O75" s="25" t="n">
        <v>4538.66</v>
      </c>
      <c r="P75" s="25" t="n">
        <v>25422.34</v>
      </c>
      <c r="Q75" s="25" t="n">
        <v>3898.39</v>
      </c>
      <c r="R75" s="25" t="n">
        <v>26503.04</v>
      </c>
      <c r="S75" s="25" t="n">
        <v>29961</v>
      </c>
      <c r="T75" s="26" t="n">
        <v>0.1305</v>
      </c>
      <c r="U75" s="25" t="n">
        <v>30485.66</v>
      </c>
      <c r="V75" s="26" t="n">
        <v>0.9828</v>
      </c>
      <c r="W75" s="21" t="inlineStr">
        <is>
          <t>Summer</t>
        </is>
      </c>
    </row>
    <row r="76" ht="20" customHeight="1">
      <c r="A76" s="15" t="inlineStr">
        <is>
          <t>ORD-2025-1075</t>
        </is>
      </c>
      <c r="B76" s="16" t="n">
        <v>45491</v>
      </c>
      <c r="C76" s="17" t="inlineStr">
        <is>
          <t>July</t>
        </is>
      </c>
      <c r="D76" s="15" t="inlineStr">
        <is>
          <t>Q3</t>
        </is>
      </c>
      <c r="E76" s="15" t="n">
        <v>2024</v>
      </c>
      <c r="F76" s="17" t="inlineStr">
        <is>
          <t>North America</t>
        </is>
      </c>
      <c r="G76" s="17" t="inlineStr">
        <is>
          <t>United States</t>
        </is>
      </c>
      <c r="H76" s="17" t="inlineStr">
        <is>
          <t>SMB</t>
        </is>
      </c>
      <c r="I76" s="17" t="inlineStr">
        <is>
          <t>Professional Services</t>
        </is>
      </c>
      <c r="J76" s="11" t="inlineStr">
        <is>
          <t>Cloud Migration Consulting</t>
        </is>
      </c>
      <c r="K76" s="17" t="inlineStr">
        <is>
          <t>Akiro Tanaka</t>
        </is>
      </c>
      <c r="L76" s="18" t="n">
        <v>6</v>
      </c>
      <c r="M76" s="19" t="n">
        <v>7587.95</v>
      </c>
      <c r="N76" s="19" t="n">
        <v>45527.7</v>
      </c>
      <c r="O76" s="19" t="n">
        <v>18806.22</v>
      </c>
      <c r="P76" s="19" t="n">
        <v>26721.48</v>
      </c>
      <c r="Q76" s="19" t="n">
        <v>5073.34</v>
      </c>
      <c r="R76" s="19" t="n">
        <v>44459.11</v>
      </c>
      <c r="S76" s="19" t="n">
        <v>45527.7</v>
      </c>
      <c r="T76" s="20" t="n">
        <v>0.024</v>
      </c>
      <c r="U76" s="19" t="n">
        <v>52165.51</v>
      </c>
      <c r="V76" s="20" t="n">
        <v>0.8728</v>
      </c>
      <c r="W76" s="15" t="inlineStr">
        <is>
          <t>Summer</t>
        </is>
      </c>
    </row>
    <row r="77" ht="20" customHeight="1">
      <c r="A77" s="21" t="inlineStr">
        <is>
          <t>ORD-2025-1076</t>
        </is>
      </c>
      <c r="B77" s="22" t="n">
        <v>45494</v>
      </c>
      <c r="C77" s="23" t="inlineStr">
        <is>
          <t>July</t>
        </is>
      </c>
      <c r="D77" s="21" t="inlineStr">
        <is>
          <t>Q3</t>
        </is>
      </c>
      <c r="E77" s="21" t="n">
        <v>2024</v>
      </c>
      <c r="F77" s="23" t="inlineStr">
        <is>
          <t>Europe</t>
        </is>
      </c>
      <c r="G77" s="23" t="inlineStr">
        <is>
          <t>United Kingdom</t>
        </is>
      </c>
      <c r="H77" s="23" t="inlineStr">
        <is>
          <t>SMB</t>
        </is>
      </c>
      <c r="I77" s="23" t="inlineStr">
        <is>
          <t>Cybersecurity</t>
        </is>
      </c>
      <c r="J77" s="8" t="inlineStr">
        <is>
          <t>Firewall Guard Premium</t>
        </is>
      </c>
      <c r="K77" s="23" t="inlineStr">
        <is>
          <t>Eleanor Vance</t>
        </is>
      </c>
      <c r="L77" s="24" t="n">
        <v>75</v>
      </c>
      <c r="M77" s="25" t="n">
        <v>3353.75</v>
      </c>
      <c r="N77" s="25" t="n">
        <v>251531.25</v>
      </c>
      <c r="O77" s="25" t="n">
        <v>52615.68</v>
      </c>
      <c r="P77" s="25" t="n">
        <v>198915.57</v>
      </c>
      <c r="Q77" s="25" t="n">
        <v>29257.03</v>
      </c>
      <c r="R77" s="25" t="n">
        <v>273817.56</v>
      </c>
      <c r="S77" s="25" t="n">
        <v>251531.25</v>
      </c>
      <c r="T77" s="26" t="n">
        <v>-0.0814</v>
      </c>
      <c r="U77" s="25" t="n">
        <v>275065.51</v>
      </c>
      <c r="V77" s="26" t="n">
        <v>0.9144</v>
      </c>
      <c r="W77" s="21" t="inlineStr">
        <is>
          <t>Summer</t>
        </is>
      </c>
    </row>
    <row r="78" ht="20" customHeight="1">
      <c r="A78" s="15" t="inlineStr">
        <is>
          <t>ORD-2025-1077</t>
        </is>
      </c>
      <c r="B78" s="16" t="n">
        <v>45497</v>
      </c>
      <c r="C78" s="17" t="inlineStr">
        <is>
          <t>July</t>
        </is>
      </c>
      <c r="D78" s="15" t="inlineStr">
        <is>
          <t>Q3</t>
        </is>
      </c>
      <c r="E78" s="15" t="n">
        <v>2024</v>
      </c>
      <c r="F78" s="17" t="inlineStr">
        <is>
          <t>Latin America</t>
        </is>
      </c>
      <c r="G78" s="17" t="inlineStr">
        <is>
          <t>Mexico</t>
        </is>
      </c>
      <c r="H78" s="17" t="inlineStr">
        <is>
          <t>Mid-Market</t>
        </is>
      </c>
      <c r="I78" s="17" t="inlineStr">
        <is>
          <t>Hardware &amp; Infrastructure</t>
        </is>
      </c>
      <c r="J78" s="11" t="inlineStr">
        <is>
          <t>Edge Gateway Hub</t>
        </is>
      </c>
      <c r="K78" s="17" t="inlineStr">
        <is>
          <t>Eleanor Vance</t>
        </is>
      </c>
      <c r="L78" s="18" t="n">
        <v>16</v>
      </c>
      <c r="M78" s="19" t="n">
        <v>960.27</v>
      </c>
      <c r="N78" s="19" t="n">
        <v>15364.32</v>
      </c>
      <c r="O78" s="19" t="n">
        <v>8317.299999999999</v>
      </c>
      <c r="P78" s="19" t="n">
        <v>7047.02</v>
      </c>
      <c r="Q78" s="19" t="n">
        <v>2041.15</v>
      </c>
      <c r="R78" s="19" t="n">
        <v>16493.9</v>
      </c>
      <c r="S78" s="19" t="n">
        <v>15364.32</v>
      </c>
      <c r="T78" s="20" t="n">
        <v>-0.06850000000000001</v>
      </c>
      <c r="U78" s="19" t="n">
        <v>15494.98</v>
      </c>
      <c r="V78" s="20" t="n">
        <v>0.9916</v>
      </c>
      <c r="W78" s="15" t="inlineStr">
        <is>
          <t>Summer</t>
        </is>
      </c>
    </row>
    <row r="79" ht="20" customHeight="1">
      <c r="A79" s="21" t="inlineStr">
        <is>
          <t>ORD-2025-1078</t>
        </is>
      </c>
      <c r="B79" s="22" t="n">
        <v>45499</v>
      </c>
      <c r="C79" s="23" t="inlineStr">
        <is>
          <t>July</t>
        </is>
      </c>
      <c r="D79" s="21" t="inlineStr">
        <is>
          <t>Q3</t>
        </is>
      </c>
      <c r="E79" s="21" t="n">
        <v>2024</v>
      </c>
      <c r="F79" s="23" t="inlineStr">
        <is>
          <t>Latin America</t>
        </is>
      </c>
      <c r="G79" s="23" t="inlineStr">
        <is>
          <t>Mexico</t>
        </is>
      </c>
      <c r="H79" s="23" t="inlineStr">
        <is>
          <t>Mid-Market</t>
        </is>
      </c>
      <c r="I79" s="23" t="inlineStr">
        <is>
          <t>Cybersecurity</t>
        </is>
      </c>
      <c r="J79" s="8" t="inlineStr">
        <is>
          <t>Threat Intelligence API</t>
        </is>
      </c>
      <c r="K79" s="23" t="inlineStr">
        <is>
          <t>James O'Connor</t>
        </is>
      </c>
      <c r="L79" s="24" t="n">
        <v>30</v>
      </c>
      <c r="M79" s="25" t="n">
        <v>2838.26</v>
      </c>
      <c r="N79" s="25" t="n">
        <v>85147.8</v>
      </c>
      <c r="O79" s="25" t="n">
        <v>16565.25</v>
      </c>
      <c r="P79" s="25" t="n">
        <v>68582.55</v>
      </c>
      <c r="Q79" s="25" t="n">
        <v>9364.629999999999</v>
      </c>
      <c r="R79" s="25" t="n">
        <v>73777.57000000001</v>
      </c>
      <c r="S79" s="25" t="n">
        <v>85147.8</v>
      </c>
      <c r="T79" s="26" t="n">
        <v>0.1541</v>
      </c>
      <c r="U79" s="25" t="n">
        <v>97687.03</v>
      </c>
      <c r="V79" s="26" t="n">
        <v>0.8716</v>
      </c>
      <c r="W79" s="21" t="inlineStr">
        <is>
          <t>Summer</t>
        </is>
      </c>
    </row>
    <row r="80" ht="20" customHeight="1">
      <c r="A80" s="15" t="inlineStr">
        <is>
          <t>ORD-2025-1079</t>
        </is>
      </c>
      <c r="B80" s="16" t="n">
        <v>45502</v>
      </c>
      <c r="C80" s="17" t="inlineStr">
        <is>
          <t>July</t>
        </is>
      </c>
      <c r="D80" s="15" t="inlineStr">
        <is>
          <t>Q3</t>
        </is>
      </c>
      <c r="E80" s="15" t="n">
        <v>2024</v>
      </c>
      <c r="F80" s="17" t="inlineStr">
        <is>
          <t>Asia-Pacific</t>
        </is>
      </c>
      <c r="G80" s="17" t="inlineStr">
        <is>
          <t>Japan</t>
        </is>
      </c>
      <c r="H80" s="17" t="inlineStr">
        <is>
          <t>Public Sector</t>
        </is>
      </c>
      <c r="I80" s="17" t="inlineStr">
        <is>
          <t>Hardware &amp; Infrastructure</t>
        </is>
      </c>
      <c r="J80" s="11" t="inlineStr">
        <is>
          <t>Quantum Workstation</t>
        </is>
      </c>
      <c r="K80" s="17" t="inlineStr">
        <is>
          <t>Eleanor Vance</t>
        </is>
      </c>
      <c r="L80" s="18" t="n">
        <v>16</v>
      </c>
      <c r="M80" s="19" t="n">
        <v>4524.67</v>
      </c>
      <c r="N80" s="19" t="n">
        <v>72394.72</v>
      </c>
      <c r="O80" s="19" t="n">
        <v>39512.88</v>
      </c>
      <c r="P80" s="19" t="n">
        <v>32881.84</v>
      </c>
      <c r="Q80" s="19" t="n">
        <v>6288.88</v>
      </c>
      <c r="R80" s="19" t="n">
        <v>71420.50999999999</v>
      </c>
      <c r="S80" s="19" t="n">
        <v>72394.72</v>
      </c>
      <c r="T80" s="20" t="n">
        <v>0.0136</v>
      </c>
      <c r="U80" s="19" t="n">
        <v>65018.73</v>
      </c>
      <c r="V80" s="20" t="n">
        <v>1.1134</v>
      </c>
      <c r="W80" s="15" t="inlineStr">
        <is>
          <t>Summer</t>
        </is>
      </c>
    </row>
    <row r="81" ht="20" customHeight="1">
      <c r="A81" s="21" t="inlineStr">
        <is>
          <t>ORD-2025-1080</t>
        </is>
      </c>
      <c r="B81" s="22" t="n">
        <v>45505</v>
      </c>
      <c r="C81" s="23" t="inlineStr">
        <is>
          <t>August</t>
        </is>
      </c>
      <c r="D81" s="21" t="inlineStr">
        <is>
          <t>Q3</t>
        </is>
      </c>
      <c r="E81" s="21" t="n">
        <v>2024</v>
      </c>
      <c r="F81" s="23" t="inlineStr">
        <is>
          <t>Latin America</t>
        </is>
      </c>
      <c r="G81" s="23" t="inlineStr">
        <is>
          <t>Brazil</t>
        </is>
      </c>
      <c r="H81" s="23" t="inlineStr">
        <is>
          <t>Public Sector</t>
        </is>
      </c>
      <c r="I81" s="23" t="inlineStr">
        <is>
          <t>Cybersecurity</t>
        </is>
      </c>
      <c r="J81" s="8" t="inlineStr">
        <is>
          <t>Firewall Guard Premium</t>
        </is>
      </c>
      <c r="K81" s="23" t="inlineStr">
        <is>
          <t>David Kim</t>
        </is>
      </c>
      <c r="L81" s="24" t="n">
        <v>60</v>
      </c>
      <c r="M81" s="25" t="n">
        <v>3069.12</v>
      </c>
      <c r="N81" s="25" t="n">
        <v>184147.2</v>
      </c>
      <c r="O81" s="25" t="n">
        <v>36048.4</v>
      </c>
      <c r="P81" s="25" t="n">
        <v>148098.8</v>
      </c>
      <c r="Q81" s="25" t="n">
        <v>23204.13</v>
      </c>
      <c r="R81" s="25" t="n">
        <v>185386.58</v>
      </c>
      <c r="S81" s="25" t="n">
        <v>184147.2</v>
      </c>
      <c r="T81" s="26" t="n">
        <v>-0.0067</v>
      </c>
      <c r="U81" s="25" t="n">
        <v>158907.3</v>
      </c>
      <c r="V81" s="26" t="n">
        <v>1.1588</v>
      </c>
      <c r="W81" s="21" t="inlineStr">
        <is>
          <t>Summer</t>
        </is>
      </c>
    </row>
    <row r="82" ht="20" customHeight="1">
      <c r="A82" s="15" t="inlineStr">
        <is>
          <t>ORD-2026-1081</t>
        </is>
      </c>
      <c r="B82" s="16" t="n">
        <v>45508</v>
      </c>
      <c r="C82" s="17" t="inlineStr">
        <is>
          <t>August</t>
        </is>
      </c>
      <c r="D82" s="15" t="inlineStr">
        <is>
          <t>Q3</t>
        </is>
      </c>
      <c r="E82" s="15" t="n">
        <v>2024</v>
      </c>
      <c r="F82" s="17" t="inlineStr">
        <is>
          <t>Asia-Pacific</t>
        </is>
      </c>
      <c r="G82" s="17" t="inlineStr">
        <is>
          <t>India</t>
        </is>
      </c>
      <c r="H82" s="17" t="inlineStr">
        <is>
          <t>Enterprise</t>
        </is>
      </c>
      <c r="I82" s="17" t="inlineStr">
        <is>
          <t>Cloud Software</t>
        </is>
      </c>
      <c r="J82" s="11" t="inlineStr">
        <is>
          <t>Cloud Storage Enterprise</t>
        </is>
      </c>
      <c r="K82" s="17" t="inlineStr">
        <is>
          <t>Sofia Rodriguez</t>
        </is>
      </c>
      <c r="L82" s="18" t="n">
        <v>36</v>
      </c>
      <c r="M82" s="19" t="n">
        <v>818.11</v>
      </c>
      <c r="N82" s="19" t="n">
        <v>29451.96</v>
      </c>
      <c r="O82" s="19" t="n">
        <v>4468.58</v>
      </c>
      <c r="P82" s="19" t="n">
        <v>24983.38</v>
      </c>
      <c r="Q82" s="19" t="n">
        <v>2622.54</v>
      </c>
      <c r="R82" s="19" t="n">
        <v>30729.11</v>
      </c>
      <c r="S82" s="19" t="n">
        <v>29451.96</v>
      </c>
      <c r="T82" s="20" t="n">
        <v>-0.0416</v>
      </c>
      <c r="U82" s="19" t="n">
        <v>25451.21</v>
      </c>
      <c r="V82" s="20" t="n">
        <v>1.1572</v>
      </c>
      <c r="W82" s="15" t="inlineStr">
        <is>
          <t>Summer</t>
        </is>
      </c>
    </row>
    <row r="83" ht="20" customHeight="1">
      <c r="A83" s="21" t="inlineStr">
        <is>
          <t>ORD-2026-1082</t>
        </is>
      </c>
      <c r="B83" s="22" t="n">
        <v>45510</v>
      </c>
      <c r="C83" s="23" t="inlineStr">
        <is>
          <t>August</t>
        </is>
      </c>
      <c r="D83" s="21" t="inlineStr">
        <is>
          <t>Q3</t>
        </is>
      </c>
      <c r="E83" s="21" t="n">
        <v>2024</v>
      </c>
      <c r="F83" s="23" t="inlineStr">
        <is>
          <t>Latin America</t>
        </is>
      </c>
      <c r="G83" s="23" t="inlineStr">
        <is>
          <t>Brazil</t>
        </is>
      </c>
      <c r="H83" s="23" t="inlineStr">
        <is>
          <t>Mid-Market</t>
        </is>
      </c>
      <c r="I83" s="23" t="inlineStr">
        <is>
          <t>Hardware &amp; Infrastructure</t>
        </is>
      </c>
      <c r="J83" s="8" t="inlineStr">
        <is>
          <t>Edge Gateway Hub</t>
        </is>
      </c>
      <c r="K83" s="23" t="inlineStr">
        <is>
          <t>David Kim</t>
        </is>
      </c>
      <c r="L83" s="24" t="n">
        <v>16</v>
      </c>
      <c r="M83" s="25" t="n">
        <v>954.51</v>
      </c>
      <c r="N83" s="25" t="n">
        <v>15272.16</v>
      </c>
      <c r="O83" s="25" t="n">
        <v>8745.629999999999</v>
      </c>
      <c r="P83" s="25" t="n">
        <v>6526.53</v>
      </c>
      <c r="Q83" s="25" t="n">
        <v>958.15</v>
      </c>
      <c r="R83" s="25" t="n">
        <v>15960.17</v>
      </c>
      <c r="S83" s="25" t="n">
        <v>15272.16</v>
      </c>
      <c r="T83" s="26" t="n">
        <v>-0.0431</v>
      </c>
      <c r="U83" s="25" t="n">
        <v>14258.14</v>
      </c>
      <c r="V83" s="26" t="n">
        <v>1.0711</v>
      </c>
      <c r="W83" s="21" t="inlineStr">
        <is>
          <t>Summer</t>
        </is>
      </c>
    </row>
    <row r="84" ht="20" customHeight="1">
      <c r="A84" s="15" t="inlineStr">
        <is>
          <t>ORD-2026-1083</t>
        </is>
      </c>
      <c r="B84" s="16" t="n">
        <v>45513</v>
      </c>
      <c r="C84" s="17" t="inlineStr">
        <is>
          <t>August</t>
        </is>
      </c>
      <c r="D84" s="15" t="inlineStr">
        <is>
          <t>Q3</t>
        </is>
      </c>
      <c r="E84" s="15" t="n">
        <v>2024</v>
      </c>
      <c r="F84" s="17" t="inlineStr">
        <is>
          <t>North America</t>
        </is>
      </c>
      <c r="G84" s="17" t="inlineStr">
        <is>
          <t>United States</t>
        </is>
      </c>
      <c r="H84" s="17" t="inlineStr">
        <is>
          <t>Mid-Market</t>
        </is>
      </c>
      <c r="I84" s="17" t="inlineStr">
        <is>
          <t>Cloud Software</t>
        </is>
      </c>
      <c r="J84" s="11" t="inlineStr">
        <is>
          <t>SaaS Core License</t>
        </is>
      </c>
      <c r="K84" s="17" t="inlineStr">
        <is>
          <t>Marcus Vance</t>
        </is>
      </c>
      <c r="L84" s="18" t="n">
        <v>12</v>
      </c>
      <c r="M84" s="19" t="n">
        <v>1194.11</v>
      </c>
      <c r="N84" s="19" t="n">
        <v>14329.32</v>
      </c>
      <c r="O84" s="19" t="n">
        <v>2071.83</v>
      </c>
      <c r="P84" s="19" t="n">
        <v>12257.49</v>
      </c>
      <c r="Q84" s="19" t="n">
        <v>1811.98</v>
      </c>
      <c r="R84" s="19" t="n">
        <v>13747.68</v>
      </c>
      <c r="S84" s="19" t="n">
        <v>14329.32</v>
      </c>
      <c r="T84" s="20" t="n">
        <v>0.0423</v>
      </c>
      <c r="U84" s="19" t="n">
        <v>12831.56</v>
      </c>
      <c r="V84" s="20" t="n">
        <v>1.1167</v>
      </c>
      <c r="W84" s="15" t="inlineStr">
        <is>
          <t>Summer</t>
        </is>
      </c>
    </row>
    <row r="85" ht="20" customHeight="1">
      <c r="A85" s="21" t="inlineStr">
        <is>
          <t>ORD-2026-1084</t>
        </is>
      </c>
      <c r="B85" s="22" t="n">
        <v>45516</v>
      </c>
      <c r="C85" s="23" t="inlineStr">
        <is>
          <t>August</t>
        </is>
      </c>
      <c r="D85" s="21" t="inlineStr">
        <is>
          <t>Q3</t>
        </is>
      </c>
      <c r="E85" s="21" t="n">
        <v>2024</v>
      </c>
      <c r="F85" s="23" t="inlineStr">
        <is>
          <t>Latin America</t>
        </is>
      </c>
      <c r="G85" s="23" t="inlineStr">
        <is>
          <t>Brazil</t>
        </is>
      </c>
      <c r="H85" s="23" t="inlineStr">
        <is>
          <t>Mid-Market</t>
        </is>
      </c>
      <c r="I85" s="23" t="inlineStr">
        <is>
          <t>Cloud Software</t>
        </is>
      </c>
      <c r="J85" s="8" t="inlineStr">
        <is>
          <t>Cloud Storage Enterprise</t>
        </is>
      </c>
      <c r="K85" s="23" t="inlineStr">
        <is>
          <t>Akiro Tanaka</t>
        </is>
      </c>
      <c r="L85" s="24" t="n">
        <v>36</v>
      </c>
      <c r="M85" s="25" t="n">
        <v>832.84</v>
      </c>
      <c r="N85" s="25" t="n">
        <v>29982.24</v>
      </c>
      <c r="O85" s="25" t="n">
        <v>4317.8</v>
      </c>
      <c r="P85" s="25" t="n">
        <v>25664.44</v>
      </c>
      <c r="Q85" s="25" t="n">
        <v>2626.91</v>
      </c>
      <c r="R85" s="25" t="n">
        <v>30528.01</v>
      </c>
      <c r="S85" s="25" t="n">
        <v>29982.24</v>
      </c>
      <c r="T85" s="26" t="n">
        <v>-0.0179</v>
      </c>
      <c r="U85" s="25" t="n">
        <v>35140.27</v>
      </c>
      <c r="V85" s="26" t="n">
        <v>0.8532</v>
      </c>
      <c r="W85" s="21" t="inlineStr">
        <is>
          <t>Summer</t>
        </is>
      </c>
    </row>
    <row r="86" ht="20" customHeight="1">
      <c r="A86" s="15" t="inlineStr">
        <is>
          <t>ORD-2026-1085</t>
        </is>
      </c>
      <c r="B86" s="16" t="n">
        <v>45518</v>
      </c>
      <c r="C86" s="17" t="inlineStr">
        <is>
          <t>August</t>
        </is>
      </c>
      <c r="D86" s="15" t="inlineStr">
        <is>
          <t>Q3</t>
        </is>
      </c>
      <c r="E86" s="15" t="n">
        <v>2024</v>
      </c>
      <c r="F86" s="17" t="inlineStr">
        <is>
          <t>Asia-Pacific</t>
        </is>
      </c>
      <c r="G86" s="17" t="inlineStr">
        <is>
          <t>India</t>
        </is>
      </c>
      <c r="H86" s="17" t="inlineStr">
        <is>
          <t>Public Sector</t>
        </is>
      </c>
      <c r="I86" s="17" t="inlineStr">
        <is>
          <t>Cloud Software</t>
        </is>
      </c>
      <c r="J86" s="11" t="inlineStr">
        <is>
          <t>CRM Pro Core</t>
        </is>
      </c>
      <c r="K86" s="17" t="inlineStr">
        <is>
          <t>Sofia Rodriguez</t>
        </is>
      </c>
      <c r="L86" s="18" t="n">
        <v>12</v>
      </c>
      <c r="M86" s="19" t="n">
        <v>1469.69</v>
      </c>
      <c r="N86" s="19" t="n">
        <v>17636.28</v>
      </c>
      <c r="O86" s="19" t="n">
        <v>2580.9</v>
      </c>
      <c r="P86" s="19" t="n">
        <v>15055.38</v>
      </c>
      <c r="Q86" s="19" t="n">
        <v>2149.98</v>
      </c>
      <c r="R86" s="19" t="n">
        <v>17536.08</v>
      </c>
      <c r="S86" s="19" t="n">
        <v>17636.28</v>
      </c>
      <c r="T86" s="20" t="n">
        <v>0.0057</v>
      </c>
      <c r="U86" s="19" t="n">
        <v>14855.63</v>
      </c>
      <c r="V86" s="20" t="n">
        <v>1.1872</v>
      </c>
      <c r="W86" s="15" t="inlineStr">
        <is>
          <t>Summer</t>
        </is>
      </c>
    </row>
    <row r="87" ht="20" customHeight="1">
      <c r="A87" s="21" t="inlineStr">
        <is>
          <t>ORD-2026-1086</t>
        </is>
      </c>
      <c r="B87" s="22" t="n">
        <v>45521</v>
      </c>
      <c r="C87" s="23" t="inlineStr">
        <is>
          <t>August</t>
        </is>
      </c>
      <c r="D87" s="21" t="inlineStr">
        <is>
          <t>Q3</t>
        </is>
      </c>
      <c r="E87" s="21" t="n">
        <v>2024</v>
      </c>
      <c r="F87" s="23" t="inlineStr">
        <is>
          <t>Asia-Pacific</t>
        </is>
      </c>
      <c r="G87" s="23" t="inlineStr">
        <is>
          <t>Australia</t>
        </is>
      </c>
      <c r="H87" s="23" t="inlineStr">
        <is>
          <t>Enterprise</t>
        </is>
      </c>
      <c r="I87" s="23" t="inlineStr">
        <is>
          <t>Cloud Software</t>
        </is>
      </c>
      <c r="J87" s="8" t="inlineStr">
        <is>
          <t>Advanced Analytics Suite</t>
        </is>
      </c>
      <c r="K87" s="23" t="inlineStr">
        <is>
          <t>James O'Connor</t>
        </is>
      </c>
      <c r="L87" s="24" t="n">
        <v>24</v>
      </c>
      <c r="M87" s="25" t="n">
        <v>2505.9</v>
      </c>
      <c r="N87" s="25" t="n">
        <v>60141.6</v>
      </c>
      <c r="O87" s="25" t="n">
        <v>9225.209999999999</v>
      </c>
      <c r="P87" s="25" t="n">
        <v>50916.39</v>
      </c>
      <c r="Q87" s="25" t="n">
        <v>5353.84</v>
      </c>
      <c r="R87" s="25" t="n">
        <v>67087.92999999999</v>
      </c>
      <c r="S87" s="25" t="n">
        <v>60141.6</v>
      </c>
      <c r="T87" s="26" t="n">
        <v>-0.1035</v>
      </c>
      <c r="U87" s="25" t="n">
        <v>64928.65</v>
      </c>
      <c r="V87" s="26" t="n">
        <v>0.9263</v>
      </c>
      <c r="W87" s="21" t="inlineStr">
        <is>
          <t>Summer</t>
        </is>
      </c>
    </row>
    <row r="88" ht="20" customHeight="1">
      <c r="A88" s="15" t="inlineStr">
        <is>
          <t>ORD-2026-1087</t>
        </is>
      </c>
      <c r="B88" s="16" t="n">
        <v>45524</v>
      </c>
      <c r="C88" s="17" t="inlineStr">
        <is>
          <t>August</t>
        </is>
      </c>
      <c r="D88" s="15" t="inlineStr">
        <is>
          <t>Q3</t>
        </is>
      </c>
      <c r="E88" s="15" t="n">
        <v>2024</v>
      </c>
      <c r="F88" s="17" t="inlineStr">
        <is>
          <t>Europe</t>
        </is>
      </c>
      <c r="G88" s="17" t="inlineStr">
        <is>
          <t>United Kingdom</t>
        </is>
      </c>
      <c r="H88" s="17" t="inlineStr">
        <is>
          <t>Enterprise</t>
        </is>
      </c>
      <c r="I88" s="17" t="inlineStr">
        <is>
          <t>Cloud Software</t>
        </is>
      </c>
      <c r="J88" s="11" t="inlineStr">
        <is>
          <t>Cloud Storage Enterprise</t>
        </is>
      </c>
      <c r="K88" s="17" t="inlineStr">
        <is>
          <t>Sofia Rodriguez</t>
        </is>
      </c>
      <c r="L88" s="18" t="n">
        <v>36</v>
      </c>
      <c r="M88" s="19" t="n">
        <v>815.8099999999999</v>
      </c>
      <c r="N88" s="19" t="n">
        <v>29369.16</v>
      </c>
      <c r="O88" s="19" t="n">
        <v>4446.33</v>
      </c>
      <c r="P88" s="19" t="n">
        <v>24922.83</v>
      </c>
      <c r="Q88" s="19" t="n">
        <v>3785.26</v>
      </c>
      <c r="R88" s="19" t="n">
        <v>29635.82</v>
      </c>
      <c r="S88" s="19" t="n">
        <v>29369.16</v>
      </c>
      <c r="T88" s="20" t="n">
        <v>-0.008999999999999999</v>
      </c>
      <c r="U88" s="19" t="n">
        <v>25718.24</v>
      </c>
      <c r="V88" s="20" t="n">
        <v>1.142</v>
      </c>
      <c r="W88" s="15" t="inlineStr">
        <is>
          <t>Summer</t>
        </is>
      </c>
    </row>
    <row r="89" ht="20" customHeight="1">
      <c r="A89" s="21" t="inlineStr">
        <is>
          <t>ORD-2026-1088</t>
        </is>
      </c>
      <c r="B89" s="22" t="n">
        <v>45526</v>
      </c>
      <c r="C89" s="23" t="inlineStr">
        <is>
          <t>August</t>
        </is>
      </c>
      <c r="D89" s="21" t="inlineStr">
        <is>
          <t>Q3</t>
        </is>
      </c>
      <c r="E89" s="21" t="n">
        <v>2024</v>
      </c>
      <c r="F89" s="23" t="inlineStr">
        <is>
          <t>North America</t>
        </is>
      </c>
      <c r="G89" s="23" t="inlineStr">
        <is>
          <t>Canada</t>
        </is>
      </c>
      <c r="H89" s="23" t="inlineStr">
        <is>
          <t>Mid-Market</t>
        </is>
      </c>
      <c r="I89" s="23" t="inlineStr">
        <is>
          <t>Cloud Software</t>
        </is>
      </c>
      <c r="J89" s="8" t="inlineStr">
        <is>
          <t>CRM Pro Core</t>
        </is>
      </c>
      <c r="K89" s="23" t="inlineStr">
        <is>
          <t>Sofia Rodriguez</t>
        </is>
      </c>
      <c r="L89" s="24" t="n">
        <v>24</v>
      </c>
      <c r="M89" s="25" t="n">
        <v>1544.47</v>
      </c>
      <c r="N89" s="25" t="n">
        <v>37067.28</v>
      </c>
      <c r="O89" s="25" t="n">
        <v>5338.92</v>
      </c>
      <c r="P89" s="25" t="n">
        <v>31728.36</v>
      </c>
      <c r="Q89" s="25" t="n">
        <v>2874.97</v>
      </c>
      <c r="R89" s="25" t="n">
        <v>36411.55</v>
      </c>
      <c r="S89" s="25" t="n">
        <v>37067.28</v>
      </c>
      <c r="T89" s="26" t="n">
        <v>0.018</v>
      </c>
      <c r="U89" s="25" t="n">
        <v>42725.78</v>
      </c>
      <c r="V89" s="26" t="n">
        <v>0.8676</v>
      </c>
      <c r="W89" s="21" t="inlineStr">
        <is>
          <t>Summer</t>
        </is>
      </c>
    </row>
    <row r="90" ht="20" customHeight="1">
      <c r="A90" s="15" t="inlineStr">
        <is>
          <t>ORD-2026-1089</t>
        </is>
      </c>
      <c r="B90" s="16" t="n">
        <v>45529</v>
      </c>
      <c r="C90" s="17" t="inlineStr">
        <is>
          <t>August</t>
        </is>
      </c>
      <c r="D90" s="15" t="inlineStr">
        <is>
          <t>Q3</t>
        </is>
      </c>
      <c r="E90" s="15" t="n">
        <v>2024</v>
      </c>
      <c r="F90" s="17" t="inlineStr">
        <is>
          <t>Latin America</t>
        </is>
      </c>
      <c r="G90" s="17" t="inlineStr">
        <is>
          <t>Brazil</t>
        </is>
      </c>
      <c r="H90" s="17" t="inlineStr">
        <is>
          <t>Enterprise</t>
        </is>
      </c>
      <c r="I90" s="17" t="inlineStr">
        <is>
          <t>Professional Services</t>
        </is>
      </c>
      <c r="J90" s="11" t="inlineStr">
        <is>
          <t>Security Audit Service</t>
        </is>
      </c>
      <c r="K90" s="17" t="inlineStr">
        <is>
          <t>Chloe Bennett</t>
        </is>
      </c>
      <c r="L90" s="18" t="n">
        <v>6</v>
      </c>
      <c r="M90" s="19" t="n">
        <v>5975.61</v>
      </c>
      <c r="N90" s="19" t="n">
        <v>35853.66</v>
      </c>
      <c r="O90" s="19" t="n">
        <v>14942.01</v>
      </c>
      <c r="P90" s="19" t="n">
        <v>20911.65</v>
      </c>
      <c r="Q90" s="19" t="n">
        <v>4946.51</v>
      </c>
      <c r="R90" s="19" t="n">
        <v>34826.3</v>
      </c>
      <c r="S90" s="19" t="n">
        <v>35853.66</v>
      </c>
      <c r="T90" s="20" t="n">
        <v>0.0295</v>
      </c>
      <c r="U90" s="19" t="n">
        <v>42469.6</v>
      </c>
      <c r="V90" s="20" t="n">
        <v>0.8442</v>
      </c>
      <c r="W90" s="15" t="inlineStr">
        <is>
          <t>Summer</t>
        </is>
      </c>
    </row>
    <row r="91" ht="20" customHeight="1">
      <c r="A91" s="21" t="inlineStr">
        <is>
          <t>ORD-2026-1090</t>
        </is>
      </c>
      <c r="B91" s="22" t="n">
        <v>45532</v>
      </c>
      <c r="C91" s="23" t="inlineStr">
        <is>
          <t>August</t>
        </is>
      </c>
      <c r="D91" s="21" t="inlineStr">
        <is>
          <t>Q3</t>
        </is>
      </c>
      <c r="E91" s="21" t="n">
        <v>2024</v>
      </c>
      <c r="F91" s="23" t="inlineStr">
        <is>
          <t>Europe</t>
        </is>
      </c>
      <c r="G91" s="23" t="inlineStr">
        <is>
          <t>France</t>
        </is>
      </c>
      <c r="H91" s="23" t="inlineStr">
        <is>
          <t>Mid-Market</t>
        </is>
      </c>
      <c r="I91" s="23" t="inlineStr">
        <is>
          <t>Cloud Software</t>
        </is>
      </c>
      <c r="J91" s="8" t="inlineStr">
        <is>
          <t>Cloud Storage Enterprise</t>
        </is>
      </c>
      <c r="K91" s="23" t="inlineStr">
        <is>
          <t>Sofia Rodriguez</t>
        </is>
      </c>
      <c r="L91" s="24" t="n">
        <v>60</v>
      </c>
      <c r="M91" s="25" t="n">
        <v>827.37</v>
      </c>
      <c r="N91" s="25" t="n">
        <v>49642.2</v>
      </c>
      <c r="O91" s="25" t="n">
        <v>7662.34</v>
      </c>
      <c r="P91" s="25" t="n">
        <v>41979.86</v>
      </c>
      <c r="Q91" s="25" t="n">
        <v>6075.25</v>
      </c>
      <c r="R91" s="25" t="n">
        <v>50720.84</v>
      </c>
      <c r="S91" s="25" t="n">
        <v>49642.2</v>
      </c>
      <c r="T91" s="26" t="n">
        <v>-0.0213</v>
      </c>
      <c r="U91" s="25" t="n">
        <v>48956.54</v>
      </c>
      <c r="V91" s="26" t="n">
        <v>1.014</v>
      </c>
      <c r="W91" s="21" t="inlineStr">
        <is>
          <t>Summer</t>
        </is>
      </c>
    </row>
    <row r="92" ht="20" customHeight="1">
      <c r="A92" s="15" t="inlineStr">
        <is>
          <t>ORD-2026-1091</t>
        </is>
      </c>
      <c r="B92" s="16" t="n">
        <v>45535</v>
      </c>
      <c r="C92" s="17" t="inlineStr">
        <is>
          <t>August</t>
        </is>
      </c>
      <c r="D92" s="15" t="inlineStr">
        <is>
          <t>Q3</t>
        </is>
      </c>
      <c r="E92" s="15" t="n">
        <v>2024</v>
      </c>
      <c r="F92" s="17" t="inlineStr">
        <is>
          <t>Latin America</t>
        </is>
      </c>
      <c r="G92" s="17" t="inlineStr">
        <is>
          <t>Brazil</t>
        </is>
      </c>
      <c r="H92" s="17" t="inlineStr">
        <is>
          <t>SMB</t>
        </is>
      </c>
      <c r="I92" s="17" t="inlineStr">
        <is>
          <t>Cloud Software</t>
        </is>
      </c>
      <c r="J92" s="11" t="inlineStr">
        <is>
          <t>Advanced Analytics Suite</t>
        </is>
      </c>
      <c r="K92" s="17" t="inlineStr">
        <is>
          <t>James O'Connor</t>
        </is>
      </c>
      <c r="L92" s="18" t="n">
        <v>48</v>
      </c>
      <c r="M92" s="19" t="n">
        <v>2567.23</v>
      </c>
      <c r="N92" s="19" t="n">
        <v>123227.04</v>
      </c>
      <c r="O92" s="19" t="n">
        <v>17602.41</v>
      </c>
      <c r="P92" s="19" t="n">
        <v>105624.63</v>
      </c>
      <c r="Q92" s="19" t="n">
        <v>8519.799999999999</v>
      </c>
      <c r="R92" s="19" t="n">
        <v>134464.5</v>
      </c>
      <c r="S92" s="19" t="n">
        <v>123227.04</v>
      </c>
      <c r="T92" s="20" t="n">
        <v>-0.08359999999999999</v>
      </c>
      <c r="U92" s="19" t="n">
        <v>141911.78</v>
      </c>
      <c r="V92" s="20" t="n">
        <v>0.8683</v>
      </c>
      <c r="W92" s="15" t="inlineStr">
        <is>
          <t>Summer</t>
        </is>
      </c>
    </row>
    <row r="93" ht="20" customHeight="1">
      <c r="A93" s="21" t="inlineStr">
        <is>
          <t>ORD-2026-1092</t>
        </is>
      </c>
      <c r="B93" s="22" t="n">
        <v>45537</v>
      </c>
      <c r="C93" s="23" t="inlineStr">
        <is>
          <t>September</t>
        </is>
      </c>
      <c r="D93" s="21" t="inlineStr">
        <is>
          <t>Q3</t>
        </is>
      </c>
      <c r="E93" s="21" t="n">
        <v>2024</v>
      </c>
      <c r="F93" s="23" t="inlineStr">
        <is>
          <t>Latin America</t>
        </is>
      </c>
      <c r="G93" s="23" t="inlineStr">
        <is>
          <t>Mexico</t>
        </is>
      </c>
      <c r="H93" s="23" t="inlineStr">
        <is>
          <t>SMB</t>
        </is>
      </c>
      <c r="I93" s="23" t="inlineStr">
        <is>
          <t>Cybersecurity</t>
        </is>
      </c>
      <c r="J93" s="8" t="inlineStr">
        <is>
          <t>Zero-Trust Access Token</t>
        </is>
      </c>
      <c r="K93" s="23" t="inlineStr">
        <is>
          <t>David Kim</t>
        </is>
      </c>
      <c r="L93" s="24" t="n">
        <v>75</v>
      </c>
      <c r="M93" s="25" t="n">
        <v>430.48</v>
      </c>
      <c r="N93" s="25" t="n">
        <v>32286</v>
      </c>
      <c r="O93" s="25" t="n">
        <v>6554.94</v>
      </c>
      <c r="P93" s="25" t="n">
        <v>25731.06</v>
      </c>
      <c r="Q93" s="25" t="n">
        <v>3398.49</v>
      </c>
      <c r="R93" s="25" t="n">
        <v>32657.95</v>
      </c>
      <c r="S93" s="25" t="n">
        <v>32286</v>
      </c>
      <c r="T93" s="26" t="n">
        <v>-0.0114</v>
      </c>
      <c r="U93" s="25" t="n">
        <v>25895.25</v>
      </c>
      <c r="V93" s="26" t="n">
        <v>1.2468</v>
      </c>
      <c r="W93" s="21" t="inlineStr">
        <is>
          <t>Autumn</t>
        </is>
      </c>
    </row>
    <row r="94" ht="20" customHeight="1">
      <c r="A94" s="15" t="inlineStr">
        <is>
          <t>ORD-2026-1093</t>
        </is>
      </c>
      <c r="B94" s="16" t="n">
        <v>45540</v>
      </c>
      <c r="C94" s="17" t="inlineStr">
        <is>
          <t>September</t>
        </is>
      </c>
      <c r="D94" s="15" t="inlineStr">
        <is>
          <t>Q3</t>
        </is>
      </c>
      <c r="E94" s="15" t="n">
        <v>2024</v>
      </c>
      <c r="F94" s="17" t="inlineStr">
        <is>
          <t>Europe</t>
        </is>
      </c>
      <c r="G94" s="17" t="inlineStr">
        <is>
          <t>Germany</t>
        </is>
      </c>
      <c r="H94" s="17" t="inlineStr">
        <is>
          <t>Mid-Market</t>
        </is>
      </c>
      <c r="I94" s="17" t="inlineStr">
        <is>
          <t>Cybersecurity</t>
        </is>
      </c>
      <c r="J94" s="11" t="inlineStr">
        <is>
          <t>Threat Intelligence API</t>
        </is>
      </c>
      <c r="K94" s="17" t="inlineStr">
        <is>
          <t>Sofia Rodriguez</t>
        </is>
      </c>
      <c r="L94" s="18" t="n">
        <v>30</v>
      </c>
      <c r="M94" s="19" t="n">
        <v>2672.84</v>
      </c>
      <c r="N94" s="19" t="n">
        <v>80185.2</v>
      </c>
      <c r="O94" s="19" t="n">
        <v>16472.04</v>
      </c>
      <c r="P94" s="19" t="n">
        <v>63713.16</v>
      </c>
      <c r="Q94" s="19" t="n">
        <v>11132.06</v>
      </c>
      <c r="R94" s="19" t="n">
        <v>84073.91</v>
      </c>
      <c r="S94" s="19" t="n">
        <v>80185.2</v>
      </c>
      <c r="T94" s="20" t="n">
        <v>-0.0463</v>
      </c>
      <c r="U94" s="19" t="n">
        <v>90447.2</v>
      </c>
      <c r="V94" s="20" t="n">
        <v>0.8865</v>
      </c>
      <c r="W94" s="15" t="inlineStr">
        <is>
          <t>Autumn</t>
        </is>
      </c>
    </row>
    <row r="95" ht="20" customHeight="1">
      <c r="A95" s="21" t="inlineStr">
        <is>
          <t>ORD-2026-1094</t>
        </is>
      </c>
      <c r="B95" s="22" t="n">
        <v>45543</v>
      </c>
      <c r="C95" s="23" t="inlineStr">
        <is>
          <t>September</t>
        </is>
      </c>
      <c r="D95" s="21" t="inlineStr">
        <is>
          <t>Q3</t>
        </is>
      </c>
      <c r="E95" s="21" t="n">
        <v>2024</v>
      </c>
      <c r="F95" s="23" t="inlineStr">
        <is>
          <t>Europe</t>
        </is>
      </c>
      <c r="G95" s="23" t="inlineStr">
        <is>
          <t>Germany</t>
        </is>
      </c>
      <c r="H95" s="23" t="inlineStr">
        <is>
          <t>Mid-Market</t>
        </is>
      </c>
      <c r="I95" s="23" t="inlineStr">
        <is>
          <t>Cloud Software</t>
        </is>
      </c>
      <c r="J95" s="8" t="inlineStr">
        <is>
          <t>SaaS Core License</t>
        </is>
      </c>
      <c r="K95" s="23" t="inlineStr">
        <is>
          <t>Sarah Jenkins</t>
        </is>
      </c>
      <c r="L95" s="24" t="n">
        <v>48</v>
      </c>
      <c r="M95" s="25" t="n">
        <v>1214.5</v>
      </c>
      <c r="N95" s="25" t="n">
        <v>58296</v>
      </c>
      <c r="O95" s="25" t="n">
        <v>8634.6</v>
      </c>
      <c r="P95" s="25" t="n">
        <v>49661.4</v>
      </c>
      <c r="Q95" s="25" t="n">
        <v>5694.66</v>
      </c>
      <c r="R95" s="25" t="n">
        <v>62455.81</v>
      </c>
      <c r="S95" s="25" t="n">
        <v>58296</v>
      </c>
      <c r="T95" s="26" t="n">
        <v>-0.06660000000000001</v>
      </c>
      <c r="U95" s="25" t="n">
        <v>51967.97</v>
      </c>
      <c r="V95" s="26" t="n">
        <v>1.1218</v>
      </c>
      <c r="W95" s="21" t="inlineStr">
        <is>
          <t>Autumn</t>
        </is>
      </c>
    </row>
    <row r="96" ht="20" customHeight="1">
      <c r="A96" s="15" t="inlineStr">
        <is>
          <t>ORD-2026-1095</t>
        </is>
      </c>
      <c r="B96" s="16" t="n">
        <v>45545</v>
      </c>
      <c r="C96" s="17" t="inlineStr">
        <is>
          <t>September</t>
        </is>
      </c>
      <c r="D96" s="15" t="inlineStr">
        <is>
          <t>Q3</t>
        </is>
      </c>
      <c r="E96" s="15" t="n">
        <v>2024</v>
      </c>
      <c r="F96" s="17" t="inlineStr">
        <is>
          <t>Europe</t>
        </is>
      </c>
      <c r="G96" s="17" t="inlineStr">
        <is>
          <t>United Kingdom</t>
        </is>
      </c>
      <c r="H96" s="17" t="inlineStr">
        <is>
          <t>Mid-Market</t>
        </is>
      </c>
      <c r="I96" s="17" t="inlineStr">
        <is>
          <t>Hardware &amp; Infrastructure</t>
        </is>
      </c>
      <c r="J96" s="11" t="inlineStr">
        <is>
          <t>Quantum Workstation</t>
        </is>
      </c>
      <c r="K96" s="17" t="inlineStr">
        <is>
          <t>Akiro Tanaka</t>
        </is>
      </c>
      <c r="L96" s="18" t="n">
        <v>12</v>
      </c>
      <c r="M96" s="19" t="n">
        <v>4431.34</v>
      </c>
      <c r="N96" s="19" t="n">
        <v>53176.08</v>
      </c>
      <c r="O96" s="19" t="n">
        <v>27986.08</v>
      </c>
      <c r="P96" s="19" t="n">
        <v>25190</v>
      </c>
      <c r="Q96" s="19" t="n">
        <v>3965.26</v>
      </c>
      <c r="R96" s="19" t="n">
        <v>53497.82</v>
      </c>
      <c r="S96" s="19" t="n">
        <v>53176.08</v>
      </c>
      <c r="T96" s="20" t="n">
        <v>-0.006</v>
      </c>
      <c r="U96" s="19" t="n">
        <v>61869.33</v>
      </c>
      <c r="V96" s="20" t="n">
        <v>0.8595</v>
      </c>
      <c r="W96" s="15" t="inlineStr">
        <is>
          <t>Autumn</t>
        </is>
      </c>
    </row>
    <row r="97" ht="20" customHeight="1">
      <c r="A97" s="21" t="inlineStr">
        <is>
          <t>ORD-2026-1096</t>
        </is>
      </c>
      <c r="B97" s="22" t="n">
        <v>45548</v>
      </c>
      <c r="C97" s="23" t="inlineStr">
        <is>
          <t>September</t>
        </is>
      </c>
      <c r="D97" s="21" t="inlineStr">
        <is>
          <t>Q3</t>
        </is>
      </c>
      <c r="E97" s="21" t="n">
        <v>2024</v>
      </c>
      <c r="F97" s="23" t="inlineStr">
        <is>
          <t>Europe</t>
        </is>
      </c>
      <c r="G97" s="23" t="inlineStr">
        <is>
          <t>Germany</t>
        </is>
      </c>
      <c r="H97" s="23" t="inlineStr">
        <is>
          <t>SMB</t>
        </is>
      </c>
      <c r="I97" s="23" t="inlineStr">
        <is>
          <t>Cybersecurity</t>
        </is>
      </c>
      <c r="J97" s="8" t="inlineStr">
        <is>
          <t>Zero-Trust Access Token</t>
        </is>
      </c>
      <c r="K97" s="23" t="inlineStr">
        <is>
          <t>Sofia Rodriguez</t>
        </is>
      </c>
      <c r="L97" s="24" t="n">
        <v>60</v>
      </c>
      <c r="M97" s="25" t="n">
        <v>436.91</v>
      </c>
      <c r="N97" s="25" t="n">
        <v>26214.6</v>
      </c>
      <c r="O97" s="25" t="n">
        <v>5021.31</v>
      </c>
      <c r="P97" s="25" t="n">
        <v>21193.29</v>
      </c>
      <c r="Q97" s="25" t="n">
        <v>2589.54</v>
      </c>
      <c r="R97" s="25" t="n">
        <v>25639.06</v>
      </c>
      <c r="S97" s="25" t="n">
        <v>26214.6</v>
      </c>
      <c r="T97" s="26" t="n">
        <v>0.0224</v>
      </c>
      <c r="U97" s="25" t="n">
        <v>20983.43</v>
      </c>
      <c r="V97" s="26" t="n">
        <v>1.2493</v>
      </c>
      <c r="W97" s="21" t="inlineStr">
        <is>
          <t>Autumn</t>
        </is>
      </c>
    </row>
    <row r="98" ht="20" customHeight="1">
      <c r="A98" s="15" t="inlineStr">
        <is>
          <t>ORD-2026-1097</t>
        </is>
      </c>
      <c r="B98" s="16" t="n">
        <v>45551</v>
      </c>
      <c r="C98" s="17" t="inlineStr">
        <is>
          <t>September</t>
        </is>
      </c>
      <c r="D98" s="15" t="inlineStr">
        <is>
          <t>Q3</t>
        </is>
      </c>
      <c r="E98" s="15" t="n">
        <v>2024</v>
      </c>
      <c r="F98" s="17" t="inlineStr">
        <is>
          <t>Europe</t>
        </is>
      </c>
      <c r="G98" s="17" t="inlineStr">
        <is>
          <t>United Kingdom</t>
        </is>
      </c>
      <c r="H98" s="17" t="inlineStr">
        <is>
          <t>Enterprise</t>
        </is>
      </c>
      <c r="I98" s="17" t="inlineStr">
        <is>
          <t>Cloud Software</t>
        </is>
      </c>
      <c r="J98" s="11" t="inlineStr">
        <is>
          <t>CRM Pro Core</t>
        </is>
      </c>
      <c r="K98" s="17" t="inlineStr">
        <is>
          <t>Akiro Tanaka</t>
        </is>
      </c>
      <c r="L98" s="18" t="n">
        <v>12</v>
      </c>
      <c r="M98" s="19" t="n">
        <v>1511.95</v>
      </c>
      <c r="N98" s="19" t="n">
        <v>18143.4</v>
      </c>
      <c r="O98" s="19" t="n">
        <v>2613.81</v>
      </c>
      <c r="P98" s="19" t="n">
        <v>15529.59</v>
      </c>
      <c r="Q98" s="19" t="n">
        <v>1832.42</v>
      </c>
      <c r="R98" s="19" t="n">
        <v>20193.6</v>
      </c>
      <c r="S98" s="19" t="n">
        <v>18143.4</v>
      </c>
      <c r="T98" s="20" t="n">
        <v>-0.1015</v>
      </c>
      <c r="U98" s="19" t="n">
        <v>18551.13</v>
      </c>
      <c r="V98" s="20" t="n">
        <v>0.978</v>
      </c>
      <c r="W98" s="15" t="inlineStr">
        <is>
          <t>Autumn</t>
        </is>
      </c>
    </row>
    <row r="99" ht="20" customHeight="1">
      <c r="A99" s="21" t="inlineStr">
        <is>
          <t>ORD-2026-1098</t>
        </is>
      </c>
      <c r="B99" s="22" t="n">
        <v>45553</v>
      </c>
      <c r="C99" s="23" t="inlineStr">
        <is>
          <t>September</t>
        </is>
      </c>
      <c r="D99" s="21" t="inlineStr">
        <is>
          <t>Q3</t>
        </is>
      </c>
      <c r="E99" s="21" t="n">
        <v>2024</v>
      </c>
      <c r="F99" s="23" t="inlineStr">
        <is>
          <t>Latin America</t>
        </is>
      </c>
      <c r="G99" s="23" t="inlineStr">
        <is>
          <t>Brazil</t>
        </is>
      </c>
      <c r="H99" s="23" t="inlineStr">
        <is>
          <t>Mid-Market</t>
        </is>
      </c>
      <c r="I99" s="23" t="inlineStr">
        <is>
          <t>Professional Services</t>
        </is>
      </c>
      <c r="J99" s="8" t="inlineStr">
        <is>
          <t>Implementation Blueprint</t>
        </is>
      </c>
      <c r="K99" s="23" t="inlineStr">
        <is>
          <t>Sarah Jenkins</t>
        </is>
      </c>
      <c r="L99" s="24" t="n">
        <v>8</v>
      </c>
      <c r="M99" s="25" t="n">
        <v>4920.78</v>
      </c>
      <c r="N99" s="25" t="n">
        <v>39366.24</v>
      </c>
      <c r="O99" s="25" t="n">
        <v>16282.57</v>
      </c>
      <c r="P99" s="25" t="n">
        <v>23083.67</v>
      </c>
      <c r="Q99" s="25" t="n">
        <v>4697.77</v>
      </c>
      <c r="R99" s="25" t="n">
        <v>38392</v>
      </c>
      <c r="S99" s="25" t="n">
        <v>39366.24</v>
      </c>
      <c r="T99" s="26" t="n">
        <v>0.0254</v>
      </c>
      <c r="U99" s="25" t="n">
        <v>43407.35</v>
      </c>
      <c r="V99" s="26" t="n">
        <v>0.9069</v>
      </c>
      <c r="W99" s="21" t="inlineStr">
        <is>
          <t>Autumn</t>
        </is>
      </c>
    </row>
    <row r="100" ht="20" customHeight="1">
      <c r="A100" s="15" t="inlineStr">
        <is>
          <t>ORD-2026-1099</t>
        </is>
      </c>
      <c r="B100" s="16" t="n">
        <v>45556</v>
      </c>
      <c r="C100" s="17" t="inlineStr">
        <is>
          <t>September</t>
        </is>
      </c>
      <c r="D100" s="15" t="inlineStr">
        <is>
          <t>Q3</t>
        </is>
      </c>
      <c r="E100" s="15" t="n">
        <v>2024</v>
      </c>
      <c r="F100" s="17" t="inlineStr">
        <is>
          <t>Europe</t>
        </is>
      </c>
      <c r="G100" s="17" t="inlineStr">
        <is>
          <t>Germany</t>
        </is>
      </c>
      <c r="H100" s="17" t="inlineStr">
        <is>
          <t>Public Sector</t>
        </is>
      </c>
      <c r="I100" s="17" t="inlineStr">
        <is>
          <t>Professional Services</t>
        </is>
      </c>
      <c r="J100" s="11" t="inlineStr">
        <is>
          <t>Security Audit Service</t>
        </is>
      </c>
      <c r="K100" s="17" t="inlineStr">
        <is>
          <t>Sarah Jenkins</t>
        </is>
      </c>
      <c r="L100" s="18" t="n">
        <v>2</v>
      </c>
      <c r="M100" s="19" t="n">
        <v>6022.36</v>
      </c>
      <c r="N100" s="19" t="n">
        <v>12044.72</v>
      </c>
      <c r="O100" s="19" t="n">
        <v>5015.75</v>
      </c>
      <c r="P100" s="19" t="n">
        <v>7028.97</v>
      </c>
      <c r="Q100" s="19" t="n">
        <v>1396.08</v>
      </c>
      <c r="R100" s="19" t="n">
        <v>11907.2</v>
      </c>
      <c r="S100" s="19" t="n">
        <v>12044.72</v>
      </c>
      <c r="T100" s="20" t="n">
        <v>0.0115</v>
      </c>
      <c r="U100" s="19" t="n">
        <v>10882.11</v>
      </c>
      <c r="V100" s="20" t="n">
        <v>1.1068</v>
      </c>
      <c r="W100" s="15" t="inlineStr">
        <is>
          <t>Autumn</t>
        </is>
      </c>
    </row>
    <row r="101" ht="20" customHeight="1">
      <c r="A101" s="21" t="inlineStr">
        <is>
          <t>ORD-2026-1100</t>
        </is>
      </c>
      <c r="B101" s="22" t="n">
        <v>45559</v>
      </c>
      <c r="C101" s="23" t="inlineStr">
        <is>
          <t>September</t>
        </is>
      </c>
      <c r="D101" s="21" t="inlineStr">
        <is>
          <t>Q3</t>
        </is>
      </c>
      <c r="E101" s="21" t="n">
        <v>2024</v>
      </c>
      <c r="F101" s="23" t="inlineStr">
        <is>
          <t>North America</t>
        </is>
      </c>
      <c r="G101" s="23" t="inlineStr">
        <is>
          <t>Canada</t>
        </is>
      </c>
      <c r="H101" s="23" t="inlineStr">
        <is>
          <t>Mid-Market</t>
        </is>
      </c>
      <c r="I101" s="23" t="inlineStr">
        <is>
          <t>Cloud Software</t>
        </is>
      </c>
      <c r="J101" s="8" t="inlineStr">
        <is>
          <t>Cloud Storage Enterprise</t>
        </is>
      </c>
      <c r="K101" s="23" t="inlineStr">
        <is>
          <t>Akiro Tanaka</t>
        </is>
      </c>
      <c r="L101" s="24" t="n">
        <v>48</v>
      </c>
      <c r="M101" s="25" t="n">
        <v>796.8099999999999</v>
      </c>
      <c r="N101" s="25" t="n">
        <v>38246.88</v>
      </c>
      <c r="O101" s="25" t="n">
        <v>5520.64</v>
      </c>
      <c r="P101" s="25" t="n">
        <v>32726.24</v>
      </c>
      <c r="Q101" s="25" t="n">
        <v>3526.52</v>
      </c>
      <c r="R101" s="25" t="n">
        <v>43873.09</v>
      </c>
      <c r="S101" s="25" t="n">
        <v>38246.88</v>
      </c>
      <c r="T101" s="26" t="n">
        <v>-0.1282</v>
      </c>
      <c r="U101" s="25" t="n">
        <v>33552.2</v>
      </c>
      <c r="V101" s="26" t="n">
        <v>1.1399</v>
      </c>
      <c r="W101" s="21" t="inlineStr">
        <is>
          <t>Autumn</t>
        </is>
      </c>
    </row>
    <row r="102" ht="20" customHeight="1">
      <c r="A102" s="15" t="inlineStr">
        <is>
          <t>ORD-2026-1101</t>
        </is>
      </c>
      <c r="B102" s="16" t="n">
        <v>45562</v>
      </c>
      <c r="C102" s="17" t="inlineStr">
        <is>
          <t>September</t>
        </is>
      </c>
      <c r="D102" s="15" t="inlineStr">
        <is>
          <t>Q3</t>
        </is>
      </c>
      <c r="E102" s="15" t="n">
        <v>2024</v>
      </c>
      <c r="F102" s="17" t="inlineStr">
        <is>
          <t>Asia-Pacific</t>
        </is>
      </c>
      <c r="G102" s="17" t="inlineStr">
        <is>
          <t>Japan</t>
        </is>
      </c>
      <c r="H102" s="17" t="inlineStr">
        <is>
          <t>Public Sector</t>
        </is>
      </c>
      <c r="I102" s="17" t="inlineStr">
        <is>
          <t>Cloud Software</t>
        </is>
      </c>
      <c r="J102" s="11" t="inlineStr">
        <is>
          <t>SaaS Core License</t>
        </is>
      </c>
      <c r="K102" s="17" t="inlineStr">
        <is>
          <t>Eleanor Vance</t>
        </is>
      </c>
      <c r="L102" s="18" t="n">
        <v>12</v>
      </c>
      <c r="M102" s="19" t="n">
        <v>1210.17</v>
      </c>
      <c r="N102" s="19" t="n">
        <v>14522.04</v>
      </c>
      <c r="O102" s="19" t="n">
        <v>2120.78</v>
      </c>
      <c r="P102" s="19" t="n">
        <v>12401.26</v>
      </c>
      <c r="Q102" s="19" t="n">
        <v>1124.61</v>
      </c>
      <c r="R102" s="19" t="n">
        <v>12344.77</v>
      </c>
      <c r="S102" s="19" t="n">
        <v>14522.04</v>
      </c>
      <c r="T102" s="20" t="n">
        <v>0.1764</v>
      </c>
      <c r="U102" s="19" t="n">
        <v>12106.14</v>
      </c>
      <c r="V102" s="20" t="n">
        <v>1.1996</v>
      </c>
      <c r="W102" s="15" t="inlineStr">
        <is>
          <t>Autumn</t>
        </is>
      </c>
    </row>
    <row r="103" ht="20" customHeight="1">
      <c r="A103" s="21" t="inlineStr">
        <is>
          <t>ORD-2026-1102</t>
        </is>
      </c>
      <c r="B103" s="22" t="n">
        <v>45564</v>
      </c>
      <c r="C103" s="23" t="inlineStr">
        <is>
          <t>September</t>
        </is>
      </c>
      <c r="D103" s="21" t="inlineStr">
        <is>
          <t>Q3</t>
        </is>
      </c>
      <c r="E103" s="21" t="n">
        <v>2024</v>
      </c>
      <c r="F103" s="23" t="inlineStr">
        <is>
          <t>Europe</t>
        </is>
      </c>
      <c r="G103" s="23" t="inlineStr">
        <is>
          <t>Germany</t>
        </is>
      </c>
      <c r="H103" s="23" t="inlineStr">
        <is>
          <t>Mid-Market</t>
        </is>
      </c>
      <c r="I103" s="23" t="inlineStr">
        <is>
          <t>Professional Services</t>
        </is>
      </c>
      <c r="J103" s="8" t="inlineStr">
        <is>
          <t>Security Audit Service</t>
        </is>
      </c>
      <c r="K103" s="23" t="inlineStr">
        <is>
          <t>Marcus Vance</t>
        </is>
      </c>
      <c r="L103" s="24" t="n">
        <v>4</v>
      </c>
      <c r="M103" s="25" t="n">
        <v>5940.18</v>
      </c>
      <c r="N103" s="25" t="n">
        <v>23760.72</v>
      </c>
      <c r="O103" s="25" t="n">
        <v>9186.389999999999</v>
      </c>
      <c r="P103" s="25" t="n">
        <v>14574.33</v>
      </c>
      <c r="Q103" s="25" t="n">
        <v>2651.8</v>
      </c>
      <c r="R103" s="25" t="n">
        <v>21518.7</v>
      </c>
      <c r="S103" s="25" t="n">
        <v>23760.72</v>
      </c>
      <c r="T103" s="26" t="n">
        <v>0.1042</v>
      </c>
      <c r="U103" s="25" t="n">
        <v>22111.09</v>
      </c>
      <c r="V103" s="26" t="n">
        <v>1.0746</v>
      </c>
      <c r="W103" s="21" t="inlineStr">
        <is>
          <t>Autumn</t>
        </is>
      </c>
    </row>
    <row r="104" ht="20" customHeight="1">
      <c r="A104" s="15" t="inlineStr">
        <is>
          <t>ORD-2026-1103</t>
        </is>
      </c>
      <c r="B104" s="16" t="n">
        <v>45567</v>
      </c>
      <c r="C104" s="17" t="inlineStr">
        <is>
          <t>October</t>
        </is>
      </c>
      <c r="D104" s="15" t="inlineStr">
        <is>
          <t>Q4</t>
        </is>
      </c>
      <c r="E104" s="15" t="n">
        <v>2024</v>
      </c>
      <c r="F104" s="17" t="inlineStr">
        <is>
          <t>Europe</t>
        </is>
      </c>
      <c r="G104" s="17" t="inlineStr">
        <is>
          <t>France</t>
        </is>
      </c>
      <c r="H104" s="17" t="inlineStr">
        <is>
          <t>Mid-Market</t>
        </is>
      </c>
      <c r="I104" s="17" t="inlineStr">
        <is>
          <t>Hardware &amp; Infrastructure</t>
        </is>
      </c>
      <c r="J104" s="11" t="inlineStr">
        <is>
          <t>Quantum Workstation</t>
        </is>
      </c>
      <c r="K104" s="17" t="inlineStr">
        <is>
          <t>Chloe Bennett</t>
        </is>
      </c>
      <c r="L104" s="18" t="n">
        <v>20</v>
      </c>
      <c r="M104" s="19" t="n">
        <v>4588.95</v>
      </c>
      <c r="N104" s="19" t="n">
        <v>91779</v>
      </c>
      <c r="O104" s="19" t="n">
        <v>48895.05</v>
      </c>
      <c r="P104" s="19" t="n">
        <v>42883.95</v>
      </c>
      <c r="Q104" s="19" t="n">
        <v>8603.030000000001</v>
      </c>
      <c r="R104" s="19" t="n">
        <v>88584.10000000001</v>
      </c>
      <c r="S104" s="19" t="n">
        <v>91779</v>
      </c>
      <c r="T104" s="20" t="n">
        <v>0.0361</v>
      </c>
      <c r="U104" s="19" t="n">
        <v>93975.98</v>
      </c>
      <c r="V104" s="20" t="n">
        <v>0.9766</v>
      </c>
      <c r="W104" s="15" t="inlineStr">
        <is>
          <t>Autumn</t>
        </is>
      </c>
    </row>
    <row r="105" ht="20" customHeight="1">
      <c r="A105" s="21" t="inlineStr">
        <is>
          <t>ORD-2026-1104</t>
        </is>
      </c>
      <c r="B105" s="22" t="n">
        <v>45570</v>
      </c>
      <c r="C105" s="23" t="inlineStr">
        <is>
          <t>October</t>
        </is>
      </c>
      <c r="D105" s="21" t="inlineStr">
        <is>
          <t>Q4</t>
        </is>
      </c>
      <c r="E105" s="21" t="n">
        <v>2024</v>
      </c>
      <c r="F105" s="23" t="inlineStr">
        <is>
          <t>Latin America</t>
        </is>
      </c>
      <c r="G105" s="23" t="inlineStr">
        <is>
          <t>Mexico</t>
        </is>
      </c>
      <c r="H105" s="23" t="inlineStr">
        <is>
          <t>SMB</t>
        </is>
      </c>
      <c r="I105" s="23" t="inlineStr">
        <is>
          <t>Hardware &amp; Infrastructure</t>
        </is>
      </c>
      <c r="J105" s="8" t="inlineStr">
        <is>
          <t>Secure Route Switch</t>
        </is>
      </c>
      <c r="K105" s="23" t="inlineStr">
        <is>
          <t>Eleanor Vance</t>
        </is>
      </c>
      <c r="L105" s="24" t="n">
        <v>12</v>
      </c>
      <c r="M105" s="25" t="n">
        <v>1161.61</v>
      </c>
      <c r="N105" s="25" t="n">
        <v>13939.32</v>
      </c>
      <c r="O105" s="25" t="n">
        <v>7925.37</v>
      </c>
      <c r="P105" s="25" t="n">
        <v>6013.95</v>
      </c>
      <c r="Q105" s="25" t="n">
        <v>983.87</v>
      </c>
      <c r="R105" s="25" t="n">
        <v>15748.32</v>
      </c>
      <c r="S105" s="25" t="n">
        <v>13939.32</v>
      </c>
      <c r="T105" s="26" t="n">
        <v>-0.1149</v>
      </c>
      <c r="U105" s="25" t="n">
        <v>11797.37</v>
      </c>
      <c r="V105" s="26" t="n">
        <v>1.1816</v>
      </c>
      <c r="W105" s="21" t="inlineStr">
        <is>
          <t>Autumn</t>
        </is>
      </c>
    </row>
    <row r="106" ht="20" customHeight="1">
      <c r="A106" s="15" t="inlineStr">
        <is>
          <t>ORD-2026-1105</t>
        </is>
      </c>
      <c r="B106" s="16" t="n">
        <v>45572</v>
      </c>
      <c r="C106" s="17" t="inlineStr">
        <is>
          <t>October</t>
        </is>
      </c>
      <c r="D106" s="15" t="inlineStr">
        <is>
          <t>Q4</t>
        </is>
      </c>
      <c r="E106" s="15" t="n">
        <v>2024</v>
      </c>
      <c r="F106" s="17" t="inlineStr">
        <is>
          <t>Europe</t>
        </is>
      </c>
      <c r="G106" s="17" t="inlineStr">
        <is>
          <t>Germany</t>
        </is>
      </c>
      <c r="H106" s="17" t="inlineStr">
        <is>
          <t>SMB</t>
        </is>
      </c>
      <c r="I106" s="17" t="inlineStr">
        <is>
          <t>Cybersecurity</t>
        </is>
      </c>
      <c r="J106" s="11" t="inlineStr">
        <is>
          <t>Threat Intelligence API</t>
        </is>
      </c>
      <c r="K106" s="17" t="inlineStr">
        <is>
          <t>Eleanor Vance</t>
        </is>
      </c>
      <c r="L106" s="18" t="n">
        <v>60</v>
      </c>
      <c r="M106" s="19" t="n">
        <v>2855.02</v>
      </c>
      <c r="N106" s="19" t="n">
        <v>171301.2</v>
      </c>
      <c r="O106" s="19" t="n">
        <v>33685.17</v>
      </c>
      <c r="P106" s="19" t="n">
        <v>137616.03</v>
      </c>
      <c r="Q106" s="19" t="n">
        <v>22619.6</v>
      </c>
      <c r="R106" s="19" t="n">
        <v>149204.87</v>
      </c>
      <c r="S106" s="19" t="n">
        <v>171301.2</v>
      </c>
      <c r="T106" s="20" t="n">
        <v>0.1481</v>
      </c>
      <c r="U106" s="19" t="n">
        <v>162852.31</v>
      </c>
      <c r="V106" s="20" t="n">
        <v>1.0519</v>
      </c>
      <c r="W106" s="15" t="inlineStr">
        <is>
          <t>Autumn</t>
        </is>
      </c>
    </row>
    <row r="107" ht="20" customHeight="1">
      <c r="A107" s="21" t="inlineStr">
        <is>
          <t>ORD-2026-1106</t>
        </is>
      </c>
      <c r="B107" s="22" t="n">
        <v>45575</v>
      </c>
      <c r="C107" s="23" t="inlineStr">
        <is>
          <t>October</t>
        </is>
      </c>
      <c r="D107" s="21" t="inlineStr">
        <is>
          <t>Q4</t>
        </is>
      </c>
      <c r="E107" s="21" t="n">
        <v>2024</v>
      </c>
      <c r="F107" s="23" t="inlineStr">
        <is>
          <t>Europe</t>
        </is>
      </c>
      <c r="G107" s="23" t="inlineStr">
        <is>
          <t>France</t>
        </is>
      </c>
      <c r="H107" s="23" t="inlineStr">
        <is>
          <t>SMB</t>
        </is>
      </c>
      <c r="I107" s="23" t="inlineStr">
        <is>
          <t>Cybersecurity</t>
        </is>
      </c>
      <c r="J107" s="8" t="inlineStr">
        <is>
          <t>Firewall Guard Premium</t>
        </is>
      </c>
      <c r="K107" s="23" t="inlineStr">
        <is>
          <t>David Kim</t>
        </is>
      </c>
      <c r="L107" s="24" t="n">
        <v>75</v>
      </c>
      <c r="M107" s="25" t="n">
        <v>3171.73</v>
      </c>
      <c r="N107" s="25" t="n">
        <v>237879.75</v>
      </c>
      <c r="O107" s="25" t="n">
        <v>46678.88</v>
      </c>
      <c r="P107" s="25" t="n">
        <v>191200.87</v>
      </c>
      <c r="Q107" s="25" t="n">
        <v>27427</v>
      </c>
      <c r="R107" s="25" t="n">
        <v>202874.71</v>
      </c>
      <c r="S107" s="25" t="n">
        <v>237879.75</v>
      </c>
      <c r="T107" s="26" t="n">
        <v>0.1725</v>
      </c>
      <c r="U107" s="25" t="n">
        <v>191167.06</v>
      </c>
      <c r="V107" s="26" t="n">
        <v>1.2444</v>
      </c>
      <c r="W107" s="21" t="inlineStr">
        <is>
          <t>Autumn</t>
        </is>
      </c>
    </row>
    <row r="108" ht="20" customHeight="1">
      <c r="A108" s="15" t="inlineStr">
        <is>
          <t>ORD-2026-1107</t>
        </is>
      </c>
      <c r="B108" s="16" t="n">
        <v>45578</v>
      </c>
      <c r="C108" s="17" t="inlineStr">
        <is>
          <t>October</t>
        </is>
      </c>
      <c r="D108" s="15" t="inlineStr">
        <is>
          <t>Q4</t>
        </is>
      </c>
      <c r="E108" s="15" t="n">
        <v>2024</v>
      </c>
      <c r="F108" s="17" t="inlineStr">
        <is>
          <t>Europe</t>
        </is>
      </c>
      <c r="G108" s="17" t="inlineStr">
        <is>
          <t>United Kingdom</t>
        </is>
      </c>
      <c r="H108" s="17" t="inlineStr">
        <is>
          <t>Enterprise</t>
        </is>
      </c>
      <c r="I108" s="17" t="inlineStr">
        <is>
          <t>Professional Services</t>
        </is>
      </c>
      <c r="J108" s="11" t="inlineStr">
        <is>
          <t>Cloud Migration Consulting</t>
        </is>
      </c>
      <c r="K108" s="17" t="inlineStr">
        <is>
          <t>Chloe Bennett</t>
        </is>
      </c>
      <c r="L108" s="18" t="n">
        <v>6</v>
      </c>
      <c r="M108" s="19" t="n">
        <v>7780.74</v>
      </c>
      <c r="N108" s="19" t="n">
        <v>46684.44</v>
      </c>
      <c r="O108" s="19" t="n">
        <v>18164.72</v>
      </c>
      <c r="P108" s="19" t="n">
        <v>28519.72</v>
      </c>
      <c r="Q108" s="19" t="n">
        <v>5352.59</v>
      </c>
      <c r="R108" s="19" t="n">
        <v>40419.63</v>
      </c>
      <c r="S108" s="19" t="n">
        <v>46684.44</v>
      </c>
      <c r="T108" s="20" t="n">
        <v>0.155</v>
      </c>
      <c r="U108" s="19" t="n">
        <v>52635.39</v>
      </c>
      <c r="V108" s="20" t="n">
        <v>0.8869</v>
      </c>
      <c r="W108" s="15" t="inlineStr">
        <is>
          <t>Autumn</t>
        </is>
      </c>
    </row>
    <row r="109" ht="20" customHeight="1">
      <c r="A109" s="21" t="inlineStr">
        <is>
          <t>ORD-2026-1108</t>
        </is>
      </c>
      <c r="B109" s="22" t="n">
        <v>45580</v>
      </c>
      <c r="C109" s="23" t="inlineStr">
        <is>
          <t>October</t>
        </is>
      </c>
      <c r="D109" s="21" t="inlineStr">
        <is>
          <t>Q4</t>
        </is>
      </c>
      <c r="E109" s="21" t="n">
        <v>2024</v>
      </c>
      <c r="F109" s="23" t="inlineStr">
        <is>
          <t>Latin America</t>
        </is>
      </c>
      <c r="G109" s="23" t="inlineStr">
        <is>
          <t>Brazil</t>
        </is>
      </c>
      <c r="H109" s="23" t="inlineStr">
        <is>
          <t>Mid-Market</t>
        </is>
      </c>
      <c r="I109" s="23" t="inlineStr">
        <is>
          <t>Professional Services</t>
        </is>
      </c>
      <c r="J109" s="8" t="inlineStr">
        <is>
          <t>Implementation Blueprint</t>
        </is>
      </c>
      <c r="K109" s="23" t="inlineStr">
        <is>
          <t>Chloe Bennett</t>
        </is>
      </c>
      <c r="L109" s="24" t="n">
        <v>6</v>
      </c>
      <c r="M109" s="25" t="n">
        <v>5007.62</v>
      </c>
      <c r="N109" s="25" t="n">
        <v>30045.72</v>
      </c>
      <c r="O109" s="25" t="n">
        <v>12147.96</v>
      </c>
      <c r="P109" s="25" t="n">
        <v>17897.76</v>
      </c>
      <c r="Q109" s="25" t="n">
        <v>3779.95</v>
      </c>
      <c r="R109" s="25" t="n">
        <v>26336.97</v>
      </c>
      <c r="S109" s="25" t="n">
        <v>30045.72</v>
      </c>
      <c r="T109" s="26" t="n">
        <v>0.1408</v>
      </c>
      <c r="U109" s="25" t="n">
        <v>25580.31</v>
      </c>
      <c r="V109" s="26" t="n">
        <v>1.1746</v>
      </c>
      <c r="W109" s="21" t="inlineStr">
        <is>
          <t>Autumn</t>
        </is>
      </c>
    </row>
    <row r="110" ht="20" customHeight="1">
      <c r="A110" s="15" t="inlineStr">
        <is>
          <t>ORD-2026-1109</t>
        </is>
      </c>
      <c r="B110" s="16" t="n">
        <v>45583</v>
      </c>
      <c r="C110" s="17" t="inlineStr">
        <is>
          <t>October</t>
        </is>
      </c>
      <c r="D110" s="15" t="inlineStr">
        <is>
          <t>Q4</t>
        </is>
      </c>
      <c r="E110" s="15" t="n">
        <v>2024</v>
      </c>
      <c r="F110" s="17" t="inlineStr">
        <is>
          <t>Europe</t>
        </is>
      </c>
      <c r="G110" s="17" t="inlineStr">
        <is>
          <t>Germany</t>
        </is>
      </c>
      <c r="H110" s="17" t="inlineStr">
        <is>
          <t>Mid-Market</t>
        </is>
      </c>
      <c r="I110" s="17" t="inlineStr">
        <is>
          <t>Professional Services</t>
        </is>
      </c>
      <c r="J110" s="11" t="inlineStr">
        <is>
          <t>Implementation Blueprint</t>
        </is>
      </c>
      <c r="K110" s="17" t="inlineStr">
        <is>
          <t>Eleanor Vance</t>
        </is>
      </c>
      <c r="L110" s="18" t="n">
        <v>2</v>
      </c>
      <c r="M110" s="19" t="n">
        <v>5236.56</v>
      </c>
      <c r="N110" s="19" t="n">
        <v>10473.12</v>
      </c>
      <c r="O110" s="19" t="n">
        <v>4138.69</v>
      </c>
      <c r="P110" s="19" t="n">
        <v>6334.43</v>
      </c>
      <c r="Q110" s="19" t="n">
        <v>1072.16</v>
      </c>
      <c r="R110" s="19" t="n">
        <v>9020.280000000001</v>
      </c>
      <c r="S110" s="19" t="n">
        <v>10473.12</v>
      </c>
      <c r="T110" s="20" t="n">
        <v>0.1611</v>
      </c>
      <c r="U110" s="19" t="n">
        <v>9565.49</v>
      </c>
      <c r="V110" s="20" t="n">
        <v>1.0949</v>
      </c>
      <c r="W110" s="15" t="inlineStr">
        <is>
          <t>Autumn</t>
        </is>
      </c>
    </row>
    <row r="111" ht="20" customHeight="1">
      <c r="A111" s="21" t="inlineStr">
        <is>
          <t>ORD-2026-1110</t>
        </is>
      </c>
      <c r="B111" s="22" t="n">
        <v>45586</v>
      </c>
      <c r="C111" s="23" t="inlineStr">
        <is>
          <t>October</t>
        </is>
      </c>
      <c r="D111" s="21" t="inlineStr">
        <is>
          <t>Q4</t>
        </is>
      </c>
      <c r="E111" s="21" t="n">
        <v>2024</v>
      </c>
      <c r="F111" s="23" t="inlineStr">
        <is>
          <t>Asia-Pacific</t>
        </is>
      </c>
      <c r="G111" s="23" t="inlineStr">
        <is>
          <t>Australia</t>
        </is>
      </c>
      <c r="H111" s="23" t="inlineStr">
        <is>
          <t>SMB</t>
        </is>
      </c>
      <c r="I111" s="23" t="inlineStr">
        <is>
          <t>Cybersecurity</t>
        </is>
      </c>
      <c r="J111" s="8" t="inlineStr">
        <is>
          <t>Endpoint Detection X</t>
        </is>
      </c>
      <c r="K111" s="23" t="inlineStr">
        <is>
          <t>Sofia Rodriguez</t>
        </is>
      </c>
      <c r="L111" s="24" t="n">
        <v>30</v>
      </c>
      <c r="M111" s="25" t="n">
        <v>1111.21</v>
      </c>
      <c r="N111" s="25" t="n">
        <v>33336.3</v>
      </c>
      <c r="O111" s="25" t="n">
        <v>6830.11</v>
      </c>
      <c r="P111" s="25" t="n">
        <v>26506.19</v>
      </c>
      <c r="Q111" s="25" t="n">
        <v>4173.85</v>
      </c>
      <c r="R111" s="25" t="n">
        <v>33134.1</v>
      </c>
      <c r="S111" s="25" t="n">
        <v>33336.3</v>
      </c>
      <c r="T111" s="26" t="n">
        <v>0.0061</v>
      </c>
      <c r="U111" s="25" t="n">
        <v>26914.76</v>
      </c>
      <c r="V111" s="26" t="n">
        <v>1.2386</v>
      </c>
      <c r="W111" s="21" t="inlineStr">
        <is>
          <t>Autumn</t>
        </is>
      </c>
    </row>
    <row r="112" ht="20" customHeight="1">
      <c r="A112" s="15" t="inlineStr">
        <is>
          <t>ORD-2026-1111</t>
        </is>
      </c>
      <c r="B112" s="16" t="n">
        <v>45589</v>
      </c>
      <c r="C112" s="17" t="inlineStr">
        <is>
          <t>October</t>
        </is>
      </c>
      <c r="D112" s="15" t="inlineStr">
        <is>
          <t>Q4</t>
        </is>
      </c>
      <c r="E112" s="15" t="n">
        <v>2024</v>
      </c>
      <c r="F112" s="17" t="inlineStr">
        <is>
          <t>Latin America</t>
        </is>
      </c>
      <c r="G112" s="17" t="inlineStr">
        <is>
          <t>Brazil</t>
        </is>
      </c>
      <c r="H112" s="17" t="inlineStr">
        <is>
          <t>Enterprise</t>
        </is>
      </c>
      <c r="I112" s="17" t="inlineStr">
        <is>
          <t>Cybersecurity</t>
        </is>
      </c>
      <c r="J112" s="11" t="inlineStr">
        <is>
          <t>Endpoint Detection X</t>
        </is>
      </c>
      <c r="K112" s="17" t="inlineStr">
        <is>
          <t>David Kim</t>
        </is>
      </c>
      <c r="L112" s="18" t="n">
        <v>30</v>
      </c>
      <c r="M112" s="19" t="n">
        <v>1069.62</v>
      </c>
      <c r="N112" s="19" t="n">
        <v>32088.6</v>
      </c>
      <c r="O112" s="19" t="n">
        <v>6228.77</v>
      </c>
      <c r="P112" s="19" t="n">
        <v>25859.83</v>
      </c>
      <c r="Q112" s="19" t="n">
        <v>3203.96</v>
      </c>
      <c r="R112" s="19" t="n">
        <v>32866.02</v>
      </c>
      <c r="S112" s="19" t="n">
        <v>32088.6</v>
      </c>
      <c r="T112" s="20" t="n">
        <v>-0.0237</v>
      </c>
      <c r="U112" s="19" t="n">
        <v>31218.88</v>
      </c>
      <c r="V112" s="20" t="n">
        <v>1.0279</v>
      </c>
      <c r="W112" s="15" t="inlineStr">
        <is>
          <t>Autumn</t>
        </is>
      </c>
    </row>
    <row r="113" ht="20" customHeight="1">
      <c r="A113" s="21" t="inlineStr">
        <is>
          <t>ORD-2026-1112</t>
        </is>
      </c>
      <c r="B113" s="22" t="n">
        <v>45591</v>
      </c>
      <c r="C113" s="23" t="inlineStr">
        <is>
          <t>October</t>
        </is>
      </c>
      <c r="D113" s="21" t="inlineStr">
        <is>
          <t>Q4</t>
        </is>
      </c>
      <c r="E113" s="21" t="n">
        <v>2024</v>
      </c>
      <c r="F113" s="23" t="inlineStr">
        <is>
          <t>Asia-Pacific</t>
        </is>
      </c>
      <c r="G113" s="23" t="inlineStr">
        <is>
          <t>Australia</t>
        </is>
      </c>
      <c r="H113" s="23" t="inlineStr">
        <is>
          <t>Public Sector</t>
        </is>
      </c>
      <c r="I113" s="23" t="inlineStr">
        <is>
          <t>Cybersecurity</t>
        </is>
      </c>
      <c r="J113" s="8" t="inlineStr">
        <is>
          <t>Zero-Trust Access Token</t>
        </is>
      </c>
      <c r="K113" s="23" t="inlineStr">
        <is>
          <t>David Kim</t>
        </is>
      </c>
      <c r="L113" s="24" t="n">
        <v>75</v>
      </c>
      <c r="M113" s="25" t="n">
        <v>464.48</v>
      </c>
      <c r="N113" s="25" t="n">
        <v>34836</v>
      </c>
      <c r="O113" s="25" t="n">
        <v>7167.71</v>
      </c>
      <c r="P113" s="25" t="n">
        <v>27668.29</v>
      </c>
      <c r="Q113" s="25" t="n">
        <v>2277.37</v>
      </c>
      <c r="R113" s="25" t="n">
        <v>32449.95</v>
      </c>
      <c r="S113" s="25" t="n">
        <v>34836</v>
      </c>
      <c r="T113" s="26" t="n">
        <v>0.0735</v>
      </c>
      <c r="U113" s="25" t="n">
        <v>39575.39</v>
      </c>
      <c r="V113" s="26" t="n">
        <v>0.8802</v>
      </c>
      <c r="W113" s="21" t="inlineStr">
        <is>
          <t>Autumn</t>
        </is>
      </c>
    </row>
    <row r="114" ht="20" customHeight="1">
      <c r="A114" s="15" t="inlineStr">
        <is>
          <t>ORD-2026-1113</t>
        </is>
      </c>
      <c r="B114" s="16" t="n">
        <v>45594</v>
      </c>
      <c r="C114" s="17" t="inlineStr">
        <is>
          <t>October</t>
        </is>
      </c>
      <c r="D114" s="15" t="inlineStr">
        <is>
          <t>Q4</t>
        </is>
      </c>
      <c r="E114" s="15" t="n">
        <v>2024</v>
      </c>
      <c r="F114" s="17" t="inlineStr">
        <is>
          <t>Latin America</t>
        </is>
      </c>
      <c r="G114" s="17" t="inlineStr">
        <is>
          <t>Brazil</t>
        </is>
      </c>
      <c r="H114" s="17" t="inlineStr">
        <is>
          <t>Mid-Market</t>
        </is>
      </c>
      <c r="I114" s="17" t="inlineStr">
        <is>
          <t>Hardware &amp; Infrastructure</t>
        </is>
      </c>
      <c r="J114" s="11" t="inlineStr">
        <is>
          <t>Enterprise Server V4</t>
        </is>
      </c>
      <c r="K114" s="17" t="inlineStr">
        <is>
          <t>Sarah Jenkins</t>
        </is>
      </c>
      <c r="L114" s="18" t="n">
        <v>8</v>
      </c>
      <c r="M114" s="19" t="n">
        <v>8368.32</v>
      </c>
      <c r="N114" s="19" t="n">
        <v>66946.56</v>
      </c>
      <c r="O114" s="19" t="n">
        <v>37202.52</v>
      </c>
      <c r="P114" s="19" t="n">
        <v>29744.04</v>
      </c>
      <c r="Q114" s="19" t="n">
        <v>6187.19</v>
      </c>
      <c r="R114" s="19" t="n">
        <v>64903.77</v>
      </c>
      <c r="S114" s="19" t="n">
        <v>66946.56</v>
      </c>
      <c r="T114" s="20" t="n">
        <v>0.0315</v>
      </c>
      <c r="U114" s="19" t="n">
        <v>64058.52</v>
      </c>
      <c r="V114" s="20" t="n">
        <v>1.0451</v>
      </c>
      <c r="W114" s="15" t="inlineStr">
        <is>
          <t>Autumn</t>
        </is>
      </c>
    </row>
    <row r="115" ht="20" customHeight="1">
      <c r="A115" s="21" t="inlineStr">
        <is>
          <t>ORD-2026-1114</t>
        </is>
      </c>
      <c r="B115" s="22" t="n">
        <v>45597</v>
      </c>
      <c r="C115" s="23" t="inlineStr">
        <is>
          <t>November</t>
        </is>
      </c>
      <c r="D115" s="21" t="inlineStr">
        <is>
          <t>Q4</t>
        </is>
      </c>
      <c r="E115" s="21" t="n">
        <v>2024</v>
      </c>
      <c r="F115" s="23" t="inlineStr">
        <is>
          <t>Europe</t>
        </is>
      </c>
      <c r="G115" s="23" t="inlineStr">
        <is>
          <t>Germany</t>
        </is>
      </c>
      <c r="H115" s="23" t="inlineStr">
        <is>
          <t>Enterprise</t>
        </is>
      </c>
      <c r="I115" s="23" t="inlineStr">
        <is>
          <t>Cloud Software</t>
        </is>
      </c>
      <c r="J115" s="8" t="inlineStr">
        <is>
          <t>Cloud Storage Enterprise</t>
        </is>
      </c>
      <c r="K115" s="23" t="inlineStr">
        <is>
          <t>James O'Connor</t>
        </is>
      </c>
      <c r="L115" s="24" t="n">
        <v>48</v>
      </c>
      <c r="M115" s="25" t="n">
        <v>787.8099999999999</v>
      </c>
      <c r="N115" s="25" t="n">
        <v>37814.88</v>
      </c>
      <c r="O115" s="25" t="n">
        <v>5453.44</v>
      </c>
      <c r="P115" s="25" t="n">
        <v>32361.44</v>
      </c>
      <c r="Q115" s="25" t="n">
        <v>3773.82</v>
      </c>
      <c r="R115" s="25" t="n">
        <v>33182.93</v>
      </c>
      <c r="S115" s="25" t="n">
        <v>37814.88</v>
      </c>
      <c r="T115" s="26" t="n">
        <v>0.1396</v>
      </c>
      <c r="U115" s="25" t="n">
        <v>32966.97</v>
      </c>
      <c r="V115" s="26" t="n">
        <v>1.1471</v>
      </c>
      <c r="W115" s="21" t="inlineStr">
        <is>
          <t>Autumn</t>
        </is>
      </c>
    </row>
    <row r="116" ht="20" customHeight="1">
      <c r="A116" s="15" t="inlineStr">
        <is>
          <t>ORD-2026-1115</t>
        </is>
      </c>
      <c r="B116" s="16" t="n">
        <v>45599</v>
      </c>
      <c r="C116" s="17" t="inlineStr">
        <is>
          <t>November</t>
        </is>
      </c>
      <c r="D116" s="15" t="inlineStr">
        <is>
          <t>Q4</t>
        </is>
      </c>
      <c r="E116" s="15" t="n">
        <v>2024</v>
      </c>
      <c r="F116" s="17" t="inlineStr">
        <is>
          <t>Asia-Pacific</t>
        </is>
      </c>
      <c r="G116" s="17" t="inlineStr">
        <is>
          <t>Australia</t>
        </is>
      </c>
      <c r="H116" s="17" t="inlineStr">
        <is>
          <t>SMB</t>
        </is>
      </c>
      <c r="I116" s="17" t="inlineStr">
        <is>
          <t>Cybersecurity</t>
        </is>
      </c>
      <c r="J116" s="11" t="inlineStr">
        <is>
          <t>Endpoint Detection X</t>
        </is>
      </c>
      <c r="K116" s="17" t="inlineStr">
        <is>
          <t>Chloe Bennett</t>
        </is>
      </c>
      <c r="L116" s="18" t="n">
        <v>30</v>
      </c>
      <c r="M116" s="19" t="n">
        <v>1048.5</v>
      </c>
      <c r="N116" s="19" t="n">
        <v>31455</v>
      </c>
      <c r="O116" s="19" t="n">
        <v>6237.21</v>
      </c>
      <c r="P116" s="19" t="n">
        <v>25217.79</v>
      </c>
      <c r="Q116" s="19" t="n">
        <v>3699.62</v>
      </c>
      <c r="R116" s="19" t="n">
        <v>29910.91</v>
      </c>
      <c r="S116" s="19" t="n">
        <v>31455</v>
      </c>
      <c r="T116" s="20" t="n">
        <v>0.0516</v>
      </c>
      <c r="U116" s="19" t="n">
        <v>34647.04</v>
      </c>
      <c r="V116" s="20" t="n">
        <v>0.9079</v>
      </c>
      <c r="W116" s="15" t="inlineStr">
        <is>
          <t>Autumn</t>
        </is>
      </c>
    </row>
    <row r="117" ht="20" customHeight="1">
      <c r="A117" s="21" t="inlineStr">
        <is>
          <t>ORD-2026-1116</t>
        </is>
      </c>
      <c r="B117" s="22" t="n">
        <v>45602</v>
      </c>
      <c r="C117" s="23" t="inlineStr">
        <is>
          <t>November</t>
        </is>
      </c>
      <c r="D117" s="21" t="inlineStr">
        <is>
          <t>Q4</t>
        </is>
      </c>
      <c r="E117" s="21" t="n">
        <v>2024</v>
      </c>
      <c r="F117" s="23" t="inlineStr">
        <is>
          <t>Latin America</t>
        </is>
      </c>
      <c r="G117" s="23" t="inlineStr">
        <is>
          <t>Mexico</t>
        </is>
      </c>
      <c r="H117" s="23" t="inlineStr">
        <is>
          <t>SMB</t>
        </is>
      </c>
      <c r="I117" s="23" t="inlineStr">
        <is>
          <t>Cybersecurity</t>
        </is>
      </c>
      <c r="J117" s="8" t="inlineStr">
        <is>
          <t>Firewall Guard Premium</t>
        </is>
      </c>
      <c r="K117" s="23" t="inlineStr">
        <is>
          <t>Eleanor Vance</t>
        </is>
      </c>
      <c r="L117" s="24" t="n">
        <v>75</v>
      </c>
      <c r="M117" s="25" t="n">
        <v>3215.59</v>
      </c>
      <c r="N117" s="25" t="n">
        <v>241169.25</v>
      </c>
      <c r="O117" s="25" t="n">
        <v>49987.24</v>
      </c>
      <c r="P117" s="25" t="n">
        <v>191182.01</v>
      </c>
      <c r="Q117" s="25" t="n">
        <v>16526.44</v>
      </c>
      <c r="R117" s="25" t="n">
        <v>242798.53</v>
      </c>
      <c r="S117" s="25" t="n">
        <v>241169.25</v>
      </c>
      <c r="T117" s="26" t="n">
        <v>-0.0067</v>
      </c>
      <c r="U117" s="25" t="n">
        <v>269029.8</v>
      </c>
      <c r="V117" s="26" t="n">
        <v>0.8964</v>
      </c>
      <c r="W117" s="21" t="inlineStr">
        <is>
          <t>Autumn</t>
        </is>
      </c>
    </row>
    <row r="118" ht="20" customHeight="1">
      <c r="A118" s="15" t="inlineStr">
        <is>
          <t>ORD-2026-1117</t>
        </is>
      </c>
      <c r="B118" s="16" t="n">
        <v>45605</v>
      </c>
      <c r="C118" s="17" t="inlineStr">
        <is>
          <t>November</t>
        </is>
      </c>
      <c r="D118" s="15" t="inlineStr">
        <is>
          <t>Q4</t>
        </is>
      </c>
      <c r="E118" s="15" t="n">
        <v>2024</v>
      </c>
      <c r="F118" s="17" t="inlineStr">
        <is>
          <t>North America</t>
        </is>
      </c>
      <c r="G118" s="17" t="inlineStr">
        <is>
          <t>United States</t>
        </is>
      </c>
      <c r="H118" s="17" t="inlineStr">
        <is>
          <t>Public Sector</t>
        </is>
      </c>
      <c r="I118" s="17" t="inlineStr">
        <is>
          <t>Cybersecurity</t>
        </is>
      </c>
      <c r="J118" s="11" t="inlineStr">
        <is>
          <t>Zero-Trust Access Token</t>
        </is>
      </c>
      <c r="K118" s="17" t="inlineStr">
        <is>
          <t>Sarah Jenkins</t>
        </is>
      </c>
      <c r="L118" s="18" t="n">
        <v>30</v>
      </c>
      <c r="M118" s="19" t="n">
        <v>451.55</v>
      </c>
      <c r="N118" s="19" t="n">
        <v>13546.5</v>
      </c>
      <c r="O118" s="19" t="n">
        <v>2823.89</v>
      </c>
      <c r="P118" s="19" t="n">
        <v>10722.61</v>
      </c>
      <c r="Q118" s="19" t="n">
        <v>964.53</v>
      </c>
      <c r="R118" s="19" t="n">
        <v>14490.44</v>
      </c>
      <c r="S118" s="19" t="n">
        <v>13546.5</v>
      </c>
      <c r="T118" s="20" t="n">
        <v>-0.06510000000000001</v>
      </c>
      <c r="U118" s="19" t="n">
        <v>11778.7</v>
      </c>
      <c r="V118" s="20" t="n">
        <v>1.1501</v>
      </c>
      <c r="W118" s="15" t="inlineStr">
        <is>
          <t>Autumn</t>
        </is>
      </c>
    </row>
    <row r="119" ht="20" customHeight="1">
      <c r="A119" s="21" t="inlineStr">
        <is>
          <t>ORD-2026-1118</t>
        </is>
      </c>
      <c r="B119" s="22" t="n">
        <v>45607</v>
      </c>
      <c r="C119" s="23" t="inlineStr">
        <is>
          <t>November</t>
        </is>
      </c>
      <c r="D119" s="21" t="inlineStr">
        <is>
          <t>Q4</t>
        </is>
      </c>
      <c r="E119" s="21" t="n">
        <v>2024</v>
      </c>
      <c r="F119" s="23" t="inlineStr">
        <is>
          <t>Europe</t>
        </is>
      </c>
      <c r="G119" s="23" t="inlineStr">
        <is>
          <t>United Kingdom</t>
        </is>
      </c>
      <c r="H119" s="23" t="inlineStr">
        <is>
          <t>Mid-Market</t>
        </is>
      </c>
      <c r="I119" s="23" t="inlineStr">
        <is>
          <t>Cybersecurity</t>
        </is>
      </c>
      <c r="J119" s="8" t="inlineStr">
        <is>
          <t>Zero-Trust Access Token</t>
        </is>
      </c>
      <c r="K119" s="23" t="inlineStr">
        <is>
          <t>Akiro Tanaka</t>
        </is>
      </c>
      <c r="L119" s="24" t="n">
        <v>60</v>
      </c>
      <c r="M119" s="25" t="n">
        <v>443.52</v>
      </c>
      <c r="N119" s="25" t="n">
        <v>26611.2</v>
      </c>
      <c r="O119" s="25" t="n">
        <v>5303.98</v>
      </c>
      <c r="P119" s="25" t="n">
        <v>21307.22</v>
      </c>
      <c r="Q119" s="25" t="n">
        <v>2158.03</v>
      </c>
      <c r="R119" s="25" t="n">
        <v>22646.24</v>
      </c>
      <c r="S119" s="25" t="n">
        <v>26611.2</v>
      </c>
      <c r="T119" s="26" t="n">
        <v>0.1751</v>
      </c>
      <c r="U119" s="25" t="n">
        <v>29494.3</v>
      </c>
      <c r="V119" s="26" t="n">
        <v>0.9022</v>
      </c>
      <c r="W119" s="21" t="inlineStr">
        <is>
          <t>Autumn</t>
        </is>
      </c>
    </row>
    <row r="120" ht="20" customHeight="1">
      <c r="A120" s="15" t="inlineStr">
        <is>
          <t>ORD-2026-1119</t>
        </is>
      </c>
      <c r="B120" s="16" t="n">
        <v>45610</v>
      </c>
      <c r="C120" s="17" t="inlineStr">
        <is>
          <t>November</t>
        </is>
      </c>
      <c r="D120" s="15" t="inlineStr">
        <is>
          <t>Q4</t>
        </is>
      </c>
      <c r="E120" s="15" t="n">
        <v>2024</v>
      </c>
      <c r="F120" s="17" t="inlineStr">
        <is>
          <t>Latin America</t>
        </is>
      </c>
      <c r="G120" s="17" t="inlineStr">
        <is>
          <t>Brazil</t>
        </is>
      </c>
      <c r="H120" s="17" t="inlineStr">
        <is>
          <t>Mid-Market</t>
        </is>
      </c>
      <c r="I120" s="17" t="inlineStr">
        <is>
          <t>Cybersecurity</t>
        </is>
      </c>
      <c r="J120" s="11" t="inlineStr">
        <is>
          <t>Firewall Guard Premium</t>
        </is>
      </c>
      <c r="K120" s="17" t="inlineStr">
        <is>
          <t>Marcus Vance</t>
        </is>
      </c>
      <c r="L120" s="18" t="n">
        <v>15</v>
      </c>
      <c r="M120" s="19" t="n">
        <v>3326.15</v>
      </c>
      <c r="N120" s="19" t="n">
        <v>49892.25</v>
      </c>
      <c r="O120" s="19" t="n">
        <v>9959.33</v>
      </c>
      <c r="P120" s="19" t="n">
        <v>39932.92</v>
      </c>
      <c r="Q120" s="19" t="n">
        <v>4057.23</v>
      </c>
      <c r="R120" s="19" t="n">
        <v>49402.97</v>
      </c>
      <c r="S120" s="19" t="n">
        <v>49892.25</v>
      </c>
      <c r="T120" s="20" t="n">
        <v>0.009900000000000001</v>
      </c>
      <c r="U120" s="19" t="n">
        <v>58818.93</v>
      </c>
      <c r="V120" s="20" t="n">
        <v>0.8482</v>
      </c>
      <c r="W120" s="15" t="inlineStr">
        <is>
          <t>Autumn</t>
        </is>
      </c>
    </row>
    <row r="121" ht="20" customHeight="1">
      <c r="A121" s="21" t="inlineStr">
        <is>
          <t>ORD-2026-1120</t>
        </is>
      </c>
      <c r="B121" s="22" t="n">
        <v>45613</v>
      </c>
      <c r="C121" s="23" t="inlineStr">
        <is>
          <t>November</t>
        </is>
      </c>
      <c r="D121" s="21" t="inlineStr">
        <is>
          <t>Q4</t>
        </is>
      </c>
      <c r="E121" s="21" t="n">
        <v>2024</v>
      </c>
      <c r="F121" s="23" t="inlineStr">
        <is>
          <t>North America</t>
        </is>
      </c>
      <c r="G121" s="23" t="inlineStr">
        <is>
          <t>United States</t>
        </is>
      </c>
      <c r="H121" s="23" t="inlineStr">
        <is>
          <t>Mid-Market</t>
        </is>
      </c>
      <c r="I121" s="23" t="inlineStr">
        <is>
          <t>Cloud Software</t>
        </is>
      </c>
      <c r="J121" s="8" t="inlineStr">
        <is>
          <t>Cloud Storage Enterprise</t>
        </is>
      </c>
      <c r="K121" s="23" t="inlineStr">
        <is>
          <t>James O'Connor</t>
        </is>
      </c>
      <c r="L121" s="24" t="n">
        <v>60</v>
      </c>
      <c r="M121" s="25" t="n">
        <v>770.3</v>
      </c>
      <c r="N121" s="25" t="n">
        <v>46218</v>
      </c>
      <c r="O121" s="25" t="n">
        <v>7222.8</v>
      </c>
      <c r="P121" s="25" t="n">
        <v>38995.2</v>
      </c>
      <c r="Q121" s="25" t="n">
        <v>5480.29</v>
      </c>
      <c r="R121" s="25" t="n">
        <v>43403.36</v>
      </c>
      <c r="S121" s="25" t="n">
        <v>46218</v>
      </c>
      <c r="T121" s="26" t="n">
        <v>0.0648</v>
      </c>
      <c r="U121" s="25" t="n">
        <v>40050.26</v>
      </c>
      <c r="V121" s="26" t="n">
        <v>1.154</v>
      </c>
      <c r="W121" s="21" t="inlineStr">
        <is>
          <t>Autumn</t>
        </is>
      </c>
    </row>
    <row r="122" ht="22" customHeight="1">
      <c r="A122" s="27" t="inlineStr">
        <is>
          <t>Total / Average</t>
        </is>
      </c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9">
        <f>SUM(L2:L121)</f>
        <v/>
      </c>
      <c r="M122" s="28" t="n"/>
      <c r="N122" s="30">
        <f>SUM(N2:N121)</f>
        <v/>
      </c>
      <c r="O122" s="30">
        <f>SUM(O2:O121)</f>
        <v/>
      </c>
      <c r="P122" s="30">
        <f>SUM(P2:P121)</f>
        <v/>
      </c>
      <c r="Q122" s="30">
        <f>SUM(Q2:Q121)</f>
        <v/>
      </c>
      <c r="R122" s="30">
        <f>SUM(R2:R121)</f>
        <v/>
      </c>
      <c r="S122" s="30">
        <f>SUM(S2:S121)</f>
        <v/>
      </c>
      <c r="T122" s="31">
        <f>(S122-R122)/R122</f>
        <v/>
      </c>
      <c r="U122" s="30">
        <f>SUM(U2:U121)</f>
        <v/>
      </c>
      <c r="V122" s="31">
        <f>S122/U122</f>
        <v/>
      </c>
      <c r="W122" s="28" t="n"/>
    </row>
  </sheetData>
  <conditionalFormatting sqref="T2:T121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conditionalFormatting sqref="V2:V121">
    <cfRule type="cellIs" priority="3" operator="lessThan" dxfId="0" stopIfTrue="1">
      <formula>1.0</formula>
    </cfRule>
    <cfRule type="cellIs" priority="4" operator="greaterThanOrEqual" dxfId="1" stopIfTrue="1">
      <formula>1.0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2026-06-14T14:02:21Z</dcterms:created>
  <dcterms:modified xmlns:dcterms="http://purl.org/dc/terms/" xmlns:xsi="http://www.w3.org/2001/XMLSchema-instance" xsi:type="dcterms:W3CDTF">2026-06-14T14:02:22Z</dcterms:modified>
</cp:coreProperties>
</file>